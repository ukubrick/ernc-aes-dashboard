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 defaultThemeVersion="124226"/>
  <xr:revisionPtr revIDLastSave="0" documentId="13_ncr:1_{FB800783-27A2-437D-A789-A3977869D7EB}" xr6:coauthVersionLast="43" xr6:coauthVersionMax="43" xr10:uidLastSave="{00000000-0000-0000-0000-000000000000}"/>
  <workbookProtection workbookAlgorithmName="SHA-512" workbookHashValue="UGjDealdPGP4y8zgGIXKgZ5TDbHcMhI959DPXiynseF/NYzqj3WDTh3pwj+VTvEczTh6tyJC5FD0B+8YBl2uNQ==" workbookSaltValue="n6oz0X/k1cITAXtXICovsg==" workbookSpinCount="100000" lockStructure="1"/>
  <bookViews>
    <workbookView xWindow="-120" yWindow="-120" windowWidth="29040" windowHeight="15840" tabRatio="792" firstSheet="1" activeTab="3" xr2:uid="{00000000-000D-0000-FFFF-FFFF00000000}"/>
  </bookViews>
  <sheets>
    <sheet name="Datasheet" sheetId="18" state="hidden" r:id="rId1"/>
    <sheet name="Capability" sheetId="1" r:id="rId2"/>
    <sheet name="Curves Value" sheetId="7" r:id="rId3"/>
    <sheet name="Ii_Derating" sheetId="17" r:id="rId4"/>
    <sheet name="aux" sheetId="2" state="hidden" r:id="rId5"/>
    <sheet name="V_0,9pu_DIG" sheetId="3" state="hidden" r:id="rId6"/>
    <sheet name="V_0,92pu_DIG" sheetId="8" state="hidden" r:id="rId7"/>
    <sheet name="V_0,94pu_DIG" sheetId="9" state="hidden" r:id="rId8"/>
    <sheet name="V_0,96pu_DIG" sheetId="10" state="hidden" r:id="rId9"/>
    <sheet name="V_0,98pu_DIG" sheetId="11" state="hidden" r:id="rId10"/>
    <sheet name="V_1pu_DIG" sheetId="6" state="hidden" r:id="rId11"/>
    <sheet name="V_1,02pu_DIG" sheetId="12" state="hidden" r:id="rId12"/>
    <sheet name="V_1,04pu_DIG" sheetId="13" state="hidden" r:id="rId13"/>
    <sheet name="V_1,06pu_DIG" sheetId="14" state="hidden" r:id="rId14"/>
    <sheet name="V_1,08pu_DIG" sheetId="15" state="hidden" r:id="rId15"/>
    <sheet name="V_1,1pu_DIG" sheetId="4" state="hidden" r:id="rId16"/>
    <sheet name="DIGSILENT CAPABILITY TABLES" sheetId="5" state="hidden" r:id="rId17"/>
  </sheets>
  <externalReferences>
    <externalReference r:id="rId18"/>
  </externalReferences>
  <definedNames>
    <definedName name="C0">aux!$B$23</definedName>
    <definedName name="Co">aux!$B$23</definedName>
    <definedName name="Co_BPCS">#REF!</definedName>
    <definedName name="Co_STAT">#REF!</definedName>
    <definedName name="fg">[1]Data_AC!$B$2</definedName>
    <definedName name="G">[1]Data_DC!$B$2</definedName>
    <definedName name="Gref">[1]Data_DC!$D$2</definedName>
    <definedName name="I_set">Capability!$D$33</definedName>
    <definedName name="Ii">Capability!$B$21</definedName>
    <definedName name="Ii_r">aux!$B$1</definedName>
    <definedName name="ImaxVdc">aux!$B$2</definedName>
    <definedName name="Iset">Capability!$D$33</definedName>
    <definedName name="K_1">aux!$B$26</definedName>
    <definedName name="K_2">aux!$B$27</definedName>
    <definedName name="K_3">aux!$B$28</definedName>
    <definedName name="K_4">aux!$B$29</definedName>
    <definedName name="Li">aux!$B$22</definedName>
    <definedName name="Li_BPCS">[1]Data_AC!$N$3</definedName>
    <definedName name="Li_STAT">[1]Data_AC!$R$3</definedName>
    <definedName name="Lo">aux!$B$24</definedName>
    <definedName name="Lo_BPCS">[1]Data_AC!$N$4</definedName>
    <definedName name="Lo_STAT">[1]Data_AC!$R$4</definedName>
    <definedName name="Nm">Capability!$B$4</definedName>
    <definedName name="solver_adj" localSheetId="1" hidden="1">Capability!$G$3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Capability!$R$3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0.95</definedName>
    <definedName name="solver_ver" localSheetId="1" hidden="1">3</definedName>
    <definedName name="Vac_to_Vdc">1.43</definedName>
    <definedName name="Vdc_offset">10</definedName>
    <definedName name="Vi">Capability!$B$20</definedName>
    <definedName name="Vo">Capability!$B$3</definedName>
    <definedName name="Vo_1">Capability!$B$3</definedName>
    <definedName name="wg">Capability!$D$5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" i="18" l="1"/>
  <c r="D1" i="18"/>
  <c r="F1" i="18"/>
  <c r="D9" i="18"/>
  <c r="F9" i="18"/>
  <c r="D10" i="18"/>
  <c r="F10" i="18"/>
  <c r="B19" i="18"/>
  <c r="A23" i="18"/>
  <c r="A24" i="18"/>
  <c r="A25" i="18"/>
  <c r="A26" i="18"/>
  <c r="A27" i="18"/>
  <c r="A28" i="18"/>
  <c r="B36" i="18"/>
  <c r="B37" i="18"/>
  <c r="B38" i="18"/>
  <c r="M28" i="18" l="1"/>
  <c r="Q28" i="18" s="1"/>
  <c r="U28" i="18" s="1"/>
  <c r="M27" i="18"/>
  <c r="Q27" i="18" s="1"/>
  <c r="U27" i="18" s="1"/>
  <c r="M26" i="18"/>
  <c r="Q26" i="18" s="1"/>
  <c r="U26" i="18" s="1"/>
  <c r="M25" i="18"/>
  <c r="Q25" i="18" s="1"/>
  <c r="U25" i="18" s="1"/>
  <c r="M24" i="18"/>
  <c r="Q24" i="18" s="1"/>
  <c r="U24" i="18" s="1"/>
  <c r="M23" i="18"/>
  <c r="Q23" i="18" s="1"/>
  <c r="U23" i="18" s="1"/>
  <c r="V10" i="18"/>
  <c r="V9" i="18"/>
  <c r="V1" i="18"/>
  <c r="R34" i="18"/>
  <c r="V34" i="18" s="1"/>
  <c r="R32" i="18"/>
  <c r="V32" i="18" s="1"/>
  <c r="R31" i="18"/>
  <c r="V31" i="18" s="1"/>
  <c r="R30" i="18"/>
  <c r="V30" i="18" s="1"/>
  <c r="R29" i="18"/>
  <c r="V29" i="18" s="1"/>
  <c r="R22" i="18"/>
  <c r="V22" i="18" s="1"/>
  <c r="R21" i="18"/>
  <c r="V21" i="18" s="1"/>
  <c r="R20" i="18"/>
  <c r="V20" i="18" s="1"/>
  <c r="R17" i="18"/>
  <c r="V17" i="18" s="1"/>
  <c r="R16" i="18"/>
  <c r="V16" i="18" s="1"/>
  <c r="R14" i="18"/>
  <c r="V14" i="18" s="1"/>
  <c r="R13" i="18"/>
  <c r="V13" i="18" s="1"/>
  <c r="R1" i="18"/>
  <c r="N38" i="18"/>
  <c r="R38" i="18" s="1"/>
  <c r="V38" i="18" s="1"/>
  <c r="N37" i="18"/>
  <c r="R37" i="18" s="1"/>
  <c r="V37" i="18" s="1"/>
  <c r="N36" i="18"/>
  <c r="R36" i="18" s="1"/>
  <c r="V36" i="18" s="1"/>
  <c r="N19" i="18"/>
  <c r="R19" i="18" s="1"/>
  <c r="V19" i="18" s="1"/>
  <c r="N1" i="18"/>
  <c r="J24" i="18" l="1"/>
  <c r="J25" i="18"/>
  <c r="J26" i="18"/>
  <c r="J27" i="18"/>
  <c r="J28" i="18"/>
  <c r="J23" i="18"/>
  <c r="K24" i="18"/>
  <c r="K25" i="18"/>
  <c r="K26" i="18"/>
  <c r="K27" i="18"/>
  <c r="K28" i="18"/>
  <c r="K23" i="18"/>
  <c r="R10" i="18"/>
  <c r="R9" i="18"/>
  <c r="C4" i="17"/>
  <c r="F27" i="18" l="1"/>
  <c r="D27" i="18"/>
  <c r="B27" i="18"/>
  <c r="N27" i="18" s="1"/>
  <c r="F26" i="18"/>
  <c r="V26" i="18" s="1"/>
  <c r="B26" i="18"/>
  <c r="D26" i="18"/>
  <c r="F23" i="18"/>
  <c r="V23" i="18" s="1"/>
  <c r="B23" i="18"/>
  <c r="N23" i="18" s="1"/>
  <c r="D23" i="18"/>
  <c r="F25" i="18"/>
  <c r="D25" i="18"/>
  <c r="B25" i="18"/>
  <c r="F28" i="18"/>
  <c r="F2" i="18" s="1"/>
  <c r="B28" i="18"/>
  <c r="B2" i="18" s="1"/>
  <c r="D28" i="18"/>
  <c r="D2" i="18" s="1"/>
  <c r="F24" i="18"/>
  <c r="V24" i="18" s="1"/>
  <c r="B24" i="18"/>
  <c r="D24" i="18"/>
  <c r="R24" i="18" s="1"/>
  <c r="V25" i="18"/>
  <c r="V28" i="18"/>
  <c r="R23" i="18"/>
  <c r="R25" i="18"/>
  <c r="R27" i="18"/>
  <c r="N26" i="18"/>
  <c r="V27" i="18"/>
  <c r="R26" i="18"/>
  <c r="N25" i="18"/>
  <c r="N24" i="18"/>
  <c r="V2" i="18"/>
  <c r="R28" i="18" l="1"/>
  <c r="R2" i="18" s="1"/>
  <c r="N28" i="18"/>
  <c r="N2" i="18" s="1"/>
  <c r="C37" i="17"/>
  <c r="F54" i="17" s="1"/>
  <c r="F49" i="17"/>
  <c r="E49" i="17"/>
  <c r="D49" i="17"/>
  <c r="H41" i="17"/>
  <c r="G41" i="17"/>
  <c r="F41" i="17"/>
  <c r="E41" i="17"/>
  <c r="D41" i="17"/>
  <c r="E32" i="17"/>
  <c r="D32" i="17"/>
  <c r="E31" i="17"/>
  <c r="D31" i="17"/>
  <c r="G4" i="17"/>
  <c r="F4" i="17"/>
  <c r="E4" i="17" s="1"/>
  <c r="H4" i="17"/>
  <c r="F3" i="17"/>
  <c r="G3" i="17"/>
  <c r="H3" i="17"/>
  <c r="F42" i="17" l="1"/>
  <c r="D44" i="17"/>
  <c r="G45" i="17"/>
  <c r="F53" i="17"/>
  <c r="G42" i="17"/>
  <c r="F43" i="17"/>
  <c r="E44" i="17"/>
  <c r="D45" i="17"/>
  <c r="H45" i="17"/>
  <c r="D50" i="17"/>
  <c r="E51" i="17"/>
  <c r="F52" i="17"/>
  <c r="D54" i="17"/>
  <c r="E43" i="17"/>
  <c r="H44" i="17"/>
  <c r="D51" i="17"/>
  <c r="D42" i="17"/>
  <c r="H42" i="17"/>
  <c r="G43" i="17"/>
  <c r="F44" i="17"/>
  <c r="E45" i="17"/>
  <c r="E50" i="17"/>
  <c r="F51" i="17"/>
  <c r="D53" i="17"/>
  <c r="E54" i="17"/>
  <c r="E52" i="17"/>
  <c r="E42" i="17"/>
  <c r="D43" i="17"/>
  <c r="H43" i="17"/>
  <c r="G44" i="17"/>
  <c r="F45" i="17"/>
  <c r="F50" i="17"/>
  <c r="D52" i="17"/>
  <c r="E53" i="17"/>
  <c r="H2" i="1" l="1"/>
  <c r="B2" i="7" l="1"/>
  <c r="G3" i="4" l="1"/>
  <c r="B32" i="15" l="1"/>
  <c r="B29" i="15"/>
  <c r="B26" i="15"/>
  <c r="B25" i="15"/>
  <c r="B13" i="15"/>
  <c r="B12" i="15"/>
  <c r="B8" i="15"/>
  <c r="B7" i="15"/>
  <c r="B6" i="15"/>
  <c r="B5" i="15"/>
  <c r="D5" i="15" s="1"/>
  <c r="B4" i="15"/>
  <c r="G3" i="15"/>
  <c r="H3" i="15" s="1"/>
  <c r="M3" i="15" s="1"/>
  <c r="G2" i="15"/>
  <c r="H2" i="15" s="1"/>
  <c r="M2" i="15" s="1"/>
  <c r="B1" i="15"/>
  <c r="B3" i="15" s="1"/>
  <c r="B32" i="14"/>
  <c r="B29" i="14"/>
  <c r="B26" i="14"/>
  <c r="B25" i="14"/>
  <c r="B13" i="14"/>
  <c r="B12" i="14"/>
  <c r="B8" i="14"/>
  <c r="B7" i="14"/>
  <c r="B6" i="14"/>
  <c r="B5" i="14"/>
  <c r="D5" i="14" s="1"/>
  <c r="B4" i="14"/>
  <c r="G3" i="14"/>
  <c r="H3" i="14" s="1"/>
  <c r="M3" i="14" s="1"/>
  <c r="G2" i="14"/>
  <c r="H2" i="14" s="1"/>
  <c r="M2" i="14" s="1"/>
  <c r="B1" i="14"/>
  <c r="B3" i="14" s="1"/>
  <c r="B32" i="13"/>
  <c r="B29" i="13"/>
  <c r="B26" i="13"/>
  <c r="B25" i="13"/>
  <c r="B13" i="13"/>
  <c r="B12" i="13"/>
  <c r="B8" i="13"/>
  <c r="B7" i="13"/>
  <c r="B6" i="13"/>
  <c r="B5" i="13"/>
  <c r="D5" i="13" s="1"/>
  <c r="B4" i="13"/>
  <c r="G3" i="13"/>
  <c r="H3" i="13" s="1"/>
  <c r="M3" i="13" s="1"/>
  <c r="G2" i="13"/>
  <c r="H2" i="13" s="1"/>
  <c r="M2" i="13" s="1"/>
  <c r="B1" i="13"/>
  <c r="B3" i="13" s="1"/>
  <c r="B32" i="12"/>
  <c r="B29" i="12"/>
  <c r="B26" i="12"/>
  <c r="B25" i="12"/>
  <c r="B13" i="12"/>
  <c r="B12" i="12"/>
  <c r="B8" i="12"/>
  <c r="B7" i="12"/>
  <c r="B6" i="12"/>
  <c r="B5" i="12"/>
  <c r="D5" i="12" s="1"/>
  <c r="B4" i="12"/>
  <c r="G3" i="12"/>
  <c r="H3" i="12" s="1"/>
  <c r="M3" i="12" s="1"/>
  <c r="G2" i="12"/>
  <c r="H2" i="12" s="1"/>
  <c r="B1" i="12"/>
  <c r="B3" i="12" s="1"/>
  <c r="B32" i="11"/>
  <c r="B29" i="11"/>
  <c r="B26" i="11"/>
  <c r="B25" i="11"/>
  <c r="B13" i="11"/>
  <c r="B12" i="11"/>
  <c r="B8" i="11"/>
  <c r="B7" i="11"/>
  <c r="B6" i="11"/>
  <c r="B5" i="11"/>
  <c r="D5" i="11" s="1"/>
  <c r="B4" i="11"/>
  <c r="G3" i="11"/>
  <c r="H3" i="11" s="1"/>
  <c r="M3" i="11" s="1"/>
  <c r="G2" i="11"/>
  <c r="H2" i="11" s="1"/>
  <c r="B1" i="11"/>
  <c r="B3" i="11" s="1"/>
  <c r="B32" i="10"/>
  <c r="B29" i="10"/>
  <c r="B26" i="10"/>
  <c r="B25" i="10"/>
  <c r="B13" i="10"/>
  <c r="B12" i="10"/>
  <c r="B8" i="10"/>
  <c r="B7" i="10"/>
  <c r="B6" i="10"/>
  <c r="B5" i="10"/>
  <c r="D5" i="10" s="1"/>
  <c r="B4" i="10"/>
  <c r="G3" i="10"/>
  <c r="H3" i="10" s="1"/>
  <c r="M3" i="10" s="1"/>
  <c r="G2" i="10"/>
  <c r="H2" i="10" s="1"/>
  <c r="M2" i="10" s="1"/>
  <c r="B1" i="10"/>
  <c r="B3" i="10" s="1"/>
  <c r="B32" i="9"/>
  <c r="B29" i="9"/>
  <c r="B26" i="9"/>
  <c r="B25" i="9"/>
  <c r="B13" i="9"/>
  <c r="B12" i="9"/>
  <c r="B8" i="9"/>
  <c r="B7" i="9"/>
  <c r="B6" i="9"/>
  <c r="B5" i="9"/>
  <c r="D5" i="9" s="1"/>
  <c r="B4" i="9"/>
  <c r="G3" i="9"/>
  <c r="H3" i="9" s="1"/>
  <c r="M3" i="9" s="1"/>
  <c r="G2" i="9"/>
  <c r="H2" i="9" s="1"/>
  <c r="M2" i="9" s="1"/>
  <c r="B1" i="9"/>
  <c r="B3" i="9" s="1"/>
  <c r="B32" i="8"/>
  <c r="B29" i="8"/>
  <c r="B26" i="8"/>
  <c r="B25" i="8"/>
  <c r="B13" i="8"/>
  <c r="B12" i="8"/>
  <c r="B8" i="8"/>
  <c r="B7" i="8"/>
  <c r="B6" i="8"/>
  <c r="B5" i="8"/>
  <c r="D5" i="8" s="1"/>
  <c r="B4" i="8"/>
  <c r="G3" i="8"/>
  <c r="H3" i="8" s="1"/>
  <c r="M3" i="8" s="1"/>
  <c r="G2" i="8"/>
  <c r="H2" i="8" s="1"/>
  <c r="B1" i="8"/>
  <c r="B3" i="8" s="1"/>
  <c r="D8" i="9" l="1"/>
  <c r="B20" i="9" s="1"/>
  <c r="D8" i="11"/>
  <c r="B20" i="11" s="1"/>
  <c r="D13" i="12"/>
  <c r="D8" i="10"/>
  <c r="B20" i="10" s="1"/>
  <c r="D8" i="15"/>
  <c r="B20" i="15" s="1"/>
  <c r="D13" i="10"/>
  <c r="D13" i="15"/>
  <c r="D8" i="14"/>
  <c r="B20" i="14" s="1"/>
  <c r="D13" i="14"/>
  <c r="D13" i="13"/>
  <c r="D8" i="13"/>
  <c r="B20" i="13" s="1"/>
  <c r="M2" i="12"/>
  <c r="D8" i="12"/>
  <c r="M2" i="11"/>
  <c r="D13" i="11"/>
  <c r="D13" i="9"/>
  <c r="M2" i="8"/>
  <c r="D13" i="8"/>
  <c r="D8" i="8"/>
  <c r="H4" i="1"/>
  <c r="B20" i="12" l="1"/>
  <c r="B20" i="8"/>
  <c r="G2" i="4" l="1"/>
  <c r="G3" i="6"/>
  <c r="H3" i="6" s="1"/>
  <c r="M3" i="6" s="1"/>
  <c r="G2" i="6"/>
  <c r="H2" i="6" s="1"/>
  <c r="M2" i="6" s="1"/>
  <c r="B32" i="4"/>
  <c r="B29" i="4"/>
  <c r="B26" i="4"/>
  <c r="B25" i="4"/>
  <c r="B13" i="4"/>
  <c r="B12" i="4"/>
  <c r="B8" i="4"/>
  <c r="B7" i="4"/>
  <c r="B6" i="4"/>
  <c r="B5" i="4"/>
  <c r="D5" i="4" s="1"/>
  <c r="B4" i="4"/>
  <c r="B32" i="6"/>
  <c r="B29" i="6"/>
  <c r="B26" i="6"/>
  <c r="B25" i="6"/>
  <c r="B13" i="6"/>
  <c r="B12" i="6"/>
  <c r="B8" i="6"/>
  <c r="B7" i="6"/>
  <c r="B6" i="6"/>
  <c r="B5" i="6"/>
  <c r="D5" i="6" s="1"/>
  <c r="B4" i="6"/>
  <c r="G3" i="3"/>
  <c r="G2" i="3"/>
  <c r="B32" i="3"/>
  <c r="B29" i="3"/>
  <c r="B26" i="3"/>
  <c r="B25" i="3"/>
  <c r="B13" i="3"/>
  <c r="B12" i="3"/>
  <c r="B8" i="3"/>
  <c r="B7" i="3"/>
  <c r="B6" i="3"/>
  <c r="B5" i="3"/>
  <c r="B4" i="3"/>
  <c r="H4" i="4" l="1"/>
  <c r="H3" i="4"/>
  <c r="M3" i="4" s="1"/>
  <c r="H2" i="4"/>
  <c r="M2" i="4" s="1"/>
  <c r="D5" i="3"/>
  <c r="H3" i="3"/>
  <c r="M3" i="3" s="1"/>
  <c r="H2" i="3"/>
  <c r="M2" i="3" s="1"/>
  <c r="M4" i="4" l="1"/>
  <c r="H4" i="15"/>
  <c r="M4" i="15" s="1"/>
  <c r="H4" i="6"/>
  <c r="M4" i="6" s="1"/>
  <c r="H4" i="8"/>
  <c r="M4" i="8" s="1"/>
  <c r="H4" i="3"/>
  <c r="M4" i="3" s="1"/>
  <c r="H4" i="14"/>
  <c r="M4" i="14" s="1"/>
  <c r="H4" i="11"/>
  <c r="M4" i="11" s="1"/>
  <c r="H4" i="13"/>
  <c r="M4" i="13" s="1"/>
  <c r="H4" i="10"/>
  <c r="M4" i="10" s="1"/>
  <c r="H4" i="12"/>
  <c r="M4" i="12" s="1"/>
  <c r="H4" i="9"/>
  <c r="M4" i="9" s="1"/>
  <c r="B1" i="6"/>
  <c r="B3" i="6" s="1"/>
  <c r="D8" i="6" s="1"/>
  <c r="B1" i="4"/>
  <c r="B3" i="4" s="1"/>
  <c r="B3" i="1"/>
  <c r="B1" i="3"/>
  <c r="B3" i="3" s="1"/>
  <c r="D4" i="18" l="1"/>
  <c r="F6" i="18"/>
  <c r="D6" i="18"/>
  <c r="F4" i="18"/>
  <c r="B6" i="18"/>
  <c r="B4" i="18"/>
  <c r="V4" i="18"/>
  <c r="N6" i="18"/>
  <c r="R4" i="18"/>
  <c r="R6" i="18"/>
  <c r="N4" i="18"/>
  <c r="V6" i="18"/>
  <c r="D8" i="1"/>
  <c r="B20" i="1" s="1"/>
  <c r="D13" i="1"/>
  <c r="D13" i="6"/>
  <c r="D8" i="4"/>
  <c r="D13" i="4"/>
  <c r="B20" i="6"/>
  <c r="D13" i="3"/>
  <c r="D8" i="3"/>
  <c r="B22" i="2"/>
  <c r="B23" i="2"/>
  <c r="B24" i="2"/>
  <c r="B10" i="1" l="1"/>
  <c r="B20" i="4"/>
  <c r="B20" i="3"/>
  <c r="B2" i="2"/>
  <c r="B15" i="1" l="1"/>
  <c r="C18" i="2"/>
  <c r="C13" i="2"/>
  <c r="C12" i="2"/>
  <c r="C11" i="2"/>
  <c r="C10" i="2" s="1"/>
  <c r="C6" i="2"/>
  <c r="C9" i="2" l="1"/>
  <c r="B15" i="13"/>
  <c r="B15" i="11"/>
  <c r="B15" i="12"/>
  <c r="B15" i="9"/>
  <c r="B15" i="14"/>
  <c r="B15" i="10"/>
  <c r="B10" i="11"/>
  <c r="B15" i="8"/>
  <c r="B15" i="15"/>
  <c r="B10" i="9"/>
  <c r="B10" i="10"/>
  <c r="B10" i="13"/>
  <c r="B10" i="15"/>
  <c r="B10" i="12"/>
  <c r="B10" i="8"/>
  <c r="B10" i="14"/>
  <c r="D7" i="11"/>
  <c r="B9" i="11" s="1"/>
  <c r="D7" i="14"/>
  <c r="B9" i="14" s="1"/>
  <c r="D12" i="12"/>
  <c r="B14" i="12" s="1"/>
  <c r="D12" i="10"/>
  <c r="B14" i="10" s="1"/>
  <c r="D12" i="11"/>
  <c r="B14" i="11" s="1"/>
  <c r="D12" i="13"/>
  <c r="B14" i="13" s="1"/>
  <c r="D7" i="9"/>
  <c r="B9" i="9" s="1"/>
  <c r="D7" i="13"/>
  <c r="B9" i="13" s="1"/>
  <c r="B11" i="13" s="1"/>
  <c r="D7" i="12"/>
  <c r="B9" i="12" s="1"/>
  <c r="D12" i="8"/>
  <c r="B14" i="8" s="1"/>
  <c r="D7" i="10"/>
  <c r="B9" i="10" s="1"/>
  <c r="D12" i="14"/>
  <c r="B14" i="14" s="1"/>
  <c r="D12" i="9"/>
  <c r="B14" i="9" s="1"/>
  <c r="D12" i="15"/>
  <c r="B14" i="15" s="1"/>
  <c r="D7" i="8"/>
  <c r="B9" i="8" s="1"/>
  <c r="D7" i="15"/>
  <c r="B9" i="15" s="1"/>
  <c r="B15" i="6"/>
  <c r="B15" i="4"/>
  <c r="B15" i="3"/>
  <c r="B10" i="6"/>
  <c r="B10" i="3"/>
  <c r="B10" i="4"/>
  <c r="D7" i="4"/>
  <c r="B9" i="4" s="1"/>
  <c r="D7" i="6"/>
  <c r="B9" i="6" s="1"/>
  <c r="D12" i="6"/>
  <c r="B14" i="6" s="1"/>
  <c r="D12" i="4"/>
  <c r="B14" i="4" s="1"/>
  <c r="D12" i="3"/>
  <c r="B14" i="3" s="1"/>
  <c r="D7" i="3"/>
  <c r="B9" i="3" s="1"/>
  <c r="C8" i="2"/>
  <c r="D12" i="1"/>
  <c r="B14" i="1" s="1"/>
  <c r="B16" i="1" s="1"/>
  <c r="B16" i="8" l="1"/>
  <c r="B16" i="9"/>
  <c r="B16" i="13"/>
  <c r="B11" i="10"/>
  <c r="B11" i="9"/>
  <c r="B16" i="15"/>
  <c r="B16" i="14"/>
  <c r="B11" i="8"/>
  <c r="B18" i="8" s="1"/>
  <c r="B21" i="8" s="1"/>
  <c r="B11" i="15"/>
  <c r="B16" i="11"/>
  <c r="B16" i="12"/>
  <c r="B16" i="10"/>
  <c r="B18" i="10" s="1"/>
  <c r="B21" i="10" s="1"/>
  <c r="B11" i="12"/>
  <c r="B11" i="14"/>
  <c r="B11" i="11"/>
  <c r="B18" i="13"/>
  <c r="B21" i="13" s="1"/>
  <c r="B16" i="3"/>
  <c r="B11" i="3"/>
  <c r="B11" i="4"/>
  <c r="B11" i="6"/>
  <c r="B16" i="4"/>
  <c r="B16" i="6"/>
  <c r="D7" i="1"/>
  <c r="B9" i="1" s="1"/>
  <c r="B18" i="9" l="1"/>
  <c r="B21" i="9" s="1"/>
  <c r="B18" i="11"/>
  <c r="B21" i="11" s="1"/>
  <c r="B18" i="12"/>
  <c r="B21" i="12" s="1"/>
  <c r="B18" i="15"/>
  <c r="B21" i="15" s="1"/>
  <c r="B18" i="14"/>
  <c r="B21" i="14" s="1"/>
  <c r="B18" i="3"/>
  <c r="B21" i="3" s="1"/>
  <c r="B18" i="4"/>
  <c r="B21" i="4" s="1"/>
  <c r="B18" i="6"/>
  <c r="B21" i="6" s="1"/>
  <c r="H3" i="1" l="1"/>
  <c r="M3" i="1" l="1"/>
  <c r="M2" i="1"/>
  <c r="D5" i="1" l="1"/>
  <c r="B26" i="2" l="1"/>
  <c r="B28" i="2"/>
  <c r="B27" i="2"/>
  <c r="B29" i="2"/>
  <c r="B33" i="2" l="1"/>
  <c r="B11" i="1"/>
  <c r="B18" i="1" s="1"/>
  <c r="B21" i="1" s="1"/>
  <c r="B22" i="9" l="1"/>
  <c r="D22" i="9" s="1"/>
  <c r="B22" i="13"/>
  <c r="D22" i="13" s="1"/>
  <c r="B22" i="8"/>
  <c r="D22" i="8" s="1"/>
  <c r="B22" i="15"/>
  <c r="D22" i="15" s="1"/>
  <c r="B22" i="10"/>
  <c r="D22" i="10" s="1"/>
  <c r="B22" i="11"/>
  <c r="D22" i="11" s="1"/>
  <c r="B23" i="10"/>
  <c r="D23" i="10" s="1"/>
  <c r="C29" i="10" s="1"/>
  <c r="I3" i="6"/>
  <c r="B23" i="8"/>
  <c r="D23" i="8" s="1"/>
  <c r="C29" i="8" s="1"/>
  <c r="C30" i="8" s="1"/>
  <c r="I3" i="13"/>
  <c r="I3" i="10"/>
  <c r="I4" i="14"/>
  <c r="I2" i="1"/>
  <c r="I3" i="1"/>
  <c r="I2" i="4"/>
  <c r="I2" i="10"/>
  <c r="B23" i="12"/>
  <c r="D23" i="12" s="1"/>
  <c r="C29" i="12" s="1"/>
  <c r="I2" i="9"/>
  <c r="I4" i="6"/>
  <c r="I2" i="11"/>
  <c r="B23" i="11"/>
  <c r="D23" i="11" s="1"/>
  <c r="C29" i="11" s="1"/>
  <c r="I2" i="3"/>
  <c r="I3" i="9"/>
  <c r="G33" i="2"/>
  <c r="H33" i="2" s="1"/>
  <c r="B22" i="3"/>
  <c r="D22" i="3" s="1"/>
  <c r="B22" i="12"/>
  <c r="D22" i="12" s="1"/>
  <c r="I3" i="8"/>
  <c r="I2" i="12"/>
  <c r="I4" i="9"/>
  <c r="I3" i="11"/>
  <c r="I2" i="8"/>
  <c r="I3" i="12"/>
  <c r="I3" i="15"/>
  <c r="B23" i="13"/>
  <c r="D23" i="13" s="1"/>
  <c r="C29" i="13" s="1"/>
  <c r="I2" i="14"/>
  <c r="I2" i="13"/>
  <c r="I4" i="8"/>
  <c r="I2" i="15"/>
  <c r="I3" i="3"/>
  <c r="I3" i="4"/>
  <c r="I4" i="11"/>
  <c r="B23" i="14"/>
  <c r="D23" i="14" s="1"/>
  <c r="C29" i="14" s="1"/>
  <c r="C30" i="14" s="1"/>
  <c r="B23" i="9"/>
  <c r="D23" i="9" s="1"/>
  <c r="C29" i="9" s="1"/>
  <c r="B22" i="14"/>
  <c r="D22" i="14" s="1"/>
  <c r="B22" i="6"/>
  <c r="D22" i="6" s="1"/>
  <c r="I4" i="12"/>
  <c r="I3" i="14"/>
  <c r="I4" i="4"/>
  <c r="I4" i="1"/>
  <c r="I4" i="13"/>
  <c r="I2" i="6"/>
  <c r="I4" i="10"/>
  <c r="B23" i="3"/>
  <c r="D23" i="3" s="1"/>
  <c r="C29" i="3" s="1"/>
  <c r="B23" i="15"/>
  <c r="D23" i="15" s="1"/>
  <c r="C29" i="15" s="1"/>
  <c r="B23" i="4"/>
  <c r="D23" i="4" s="1"/>
  <c r="C29" i="4" s="1"/>
  <c r="B23" i="6"/>
  <c r="D23" i="6" s="1"/>
  <c r="C29" i="6" s="1"/>
  <c r="I4" i="15"/>
  <c r="I4" i="3"/>
  <c r="B22" i="1"/>
  <c r="B23" i="1"/>
  <c r="B22" i="4"/>
  <c r="N4" i="3" l="1"/>
  <c r="F32" i="5" s="1"/>
  <c r="J4" i="3"/>
  <c r="O4" i="3" s="1"/>
  <c r="N3" i="9"/>
  <c r="J3" i="9"/>
  <c r="O3" i="9" s="1"/>
  <c r="O3" i="1"/>
  <c r="J3" i="1"/>
  <c r="P3" i="1" s="1"/>
  <c r="N3" i="6"/>
  <c r="J3" i="6"/>
  <c r="O3" i="6" s="1"/>
  <c r="H5" i="1"/>
  <c r="H6" i="1" s="1"/>
  <c r="H7" i="1" s="1"/>
  <c r="H8" i="1" s="1"/>
  <c r="D23" i="1"/>
  <c r="C30" i="6"/>
  <c r="J3" i="14"/>
  <c r="O3" i="14" s="1"/>
  <c r="N3" i="14"/>
  <c r="J4" i="11"/>
  <c r="O4" i="11" s="1"/>
  <c r="N4" i="11"/>
  <c r="F36" i="5" s="1"/>
  <c r="N4" i="8"/>
  <c r="F33" i="5" s="1"/>
  <c r="J4" i="8"/>
  <c r="O4" i="8" s="1"/>
  <c r="C30" i="3"/>
  <c r="N3" i="12"/>
  <c r="J3" i="12"/>
  <c r="O3" i="12" s="1"/>
  <c r="J2" i="12"/>
  <c r="O2" i="12" s="1"/>
  <c r="N2" i="12"/>
  <c r="N3" i="13"/>
  <c r="J3" i="13"/>
  <c r="O3" i="13" s="1"/>
  <c r="C30" i="12"/>
  <c r="N3" i="3"/>
  <c r="J3" i="3"/>
  <c r="O3" i="3" s="1"/>
  <c r="J4" i="9"/>
  <c r="O4" i="9" s="1"/>
  <c r="N4" i="9"/>
  <c r="F34" i="5" s="1"/>
  <c r="D22" i="1"/>
  <c r="J4" i="15"/>
  <c r="O4" i="15" s="1"/>
  <c r="N4" i="15"/>
  <c r="F41" i="5" s="1"/>
  <c r="N2" i="6"/>
  <c r="J2" i="6"/>
  <c r="O2" i="6" s="1"/>
  <c r="C30" i="4"/>
  <c r="N4" i="12"/>
  <c r="F38" i="5" s="1"/>
  <c r="J4" i="12"/>
  <c r="O4" i="12" s="1"/>
  <c r="N3" i="4"/>
  <c r="J3" i="4"/>
  <c r="O3" i="4" s="1"/>
  <c r="J2" i="15"/>
  <c r="O2" i="15" s="1"/>
  <c r="N2" i="15"/>
  <c r="J2" i="13"/>
  <c r="O2" i="13" s="1"/>
  <c r="N2" i="13"/>
  <c r="N2" i="8"/>
  <c r="J2" i="8"/>
  <c r="O2" i="8" s="1"/>
  <c r="N3" i="8"/>
  <c r="J3" i="8"/>
  <c r="O3" i="8" s="1"/>
  <c r="J2" i="11"/>
  <c r="O2" i="11" s="1"/>
  <c r="N2" i="11"/>
  <c r="N2" i="10"/>
  <c r="J2" i="10"/>
  <c r="O2" i="10" s="1"/>
  <c r="O2" i="1"/>
  <c r="J2" i="1"/>
  <c r="P2" i="1" s="1"/>
  <c r="C30" i="11"/>
  <c r="C30" i="10"/>
  <c r="O4" i="1"/>
  <c r="J4" i="1"/>
  <c r="P4" i="1" s="1"/>
  <c r="J3" i="15"/>
  <c r="O3" i="15" s="1"/>
  <c r="N3" i="15"/>
  <c r="N2" i="9"/>
  <c r="J2" i="9"/>
  <c r="O2" i="9" s="1"/>
  <c r="N3" i="10"/>
  <c r="J3" i="10"/>
  <c r="O3" i="10" s="1"/>
  <c r="D22" i="4"/>
  <c r="H5" i="4"/>
  <c r="J4" i="10"/>
  <c r="O4" i="10" s="1"/>
  <c r="N4" i="10"/>
  <c r="F35" i="5" s="1"/>
  <c r="J4" i="13"/>
  <c r="O4" i="13" s="1"/>
  <c r="N4" i="13"/>
  <c r="F39" i="5" s="1"/>
  <c r="N4" i="4"/>
  <c r="F42" i="5" s="1"/>
  <c r="J4" i="4"/>
  <c r="O4" i="4" s="1"/>
  <c r="C30" i="15"/>
  <c r="N2" i="14"/>
  <c r="J2" i="14"/>
  <c r="O2" i="14" s="1"/>
  <c r="J3" i="11"/>
  <c r="O3" i="11" s="1"/>
  <c r="N3" i="11"/>
  <c r="C30" i="13"/>
  <c r="N2" i="3"/>
  <c r="J2" i="3"/>
  <c r="O2" i="3" s="1"/>
  <c r="N4" i="6"/>
  <c r="F37" i="5" s="1"/>
  <c r="J4" i="6"/>
  <c r="O4" i="6" s="1"/>
  <c r="N2" i="4"/>
  <c r="J2" i="4"/>
  <c r="O2" i="4" s="1"/>
  <c r="N4" i="14"/>
  <c r="F40" i="5" s="1"/>
  <c r="J4" i="14"/>
  <c r="O4" i="14" s="1"/>
  <c r="C30" i="9"/>
  <c r="C31" i="13"/>
  <c r="B3" i="5" l="1"/>
  <c r="C31" i="10"/>
  <c r="C32" i="10" s="1"/>
  <c r="B33" i="10" s="1"/>
  <c r="C31" i="8"/>
  <c r="C32" i="8" s="1"/>
  <c r="B34" i="8" s="1"/>
  <c r="C31" i="14"/>
  <c r="C32" i="14" s="1"/>
  <c r="B35" i="14" s="1"/>
  <c r="C31" i="6"/>
  <c r="C32" i="6" s="1"/>
  <c r="C31" i="4"/>
  <c r="C32" i="4" s="1"/>
  <c r="B33" i="4" s="1"/>
  <c r="C31" i="11"/>
  <c r="C32" i="11" s="1"/>
  <c r="C31" i="3"/>
  <c r="C32" i="3" s="1"/>
  <c r="K2" i="8"/>
  <c r="L2" i="8" s="1"/>
  <c r="P2" i="8" s="1"/>
  <c r="Q2" i="8" s="1"/>
  <c r="K4" i="1"/>
  <c r="L4" i="1" s="1"/>
  <c r="K4" i="3"/>
  <c r="L4" i="3" s="1"/>
  <c r="P4" i="3" s="1"/>
  <c r="Q4" i="3" s="1"/>
  <c r="K2" i="9"/>
  <c r="L2" i="9" s="1"/>
  <c r="P2" i="9" s="1"/>
  <c r="R2" i="9" s="1"/>
  <c r="K4" i="13"/>
  <c r="L4" i="13" s="1"/>
  <c r="P4" i="13" s="1"/>
  <c r="R4" i="13" s="1"/>
  <c r="K3" i="8"/>
  <c r="L3" i="8" s="1"/>
  <c r="P3" i="8" s="1"/>
  <c r="R3" i="8" s="1"/>
  <c r="K4" i="8"/>
  <c r="L4" i="8" s="1"/>
  <c r="P4" i="8" s="1"/>
  <c r="F5" i="5" s="1"/>
  <c r="K2" i="12"/>
  <c r="L2" i="12" s="1"/>
  <c r="P2" i="12" s="1"/>
  <c r="R2" i="12" s="1"/>
  <c r="K3" i="4"/>
  <c r="L3" i="4" s="1"/>
  <c r="P3" i="4" s="1"/>
  <c r="R3" i="4" s="1"/>
  <c r="K3" i="9"/>
  <c r="L3" i="9" s="1"/>
  <c r="P3" i="9" s="1"/>
  <c r="R3" i="9" s="1"/>
  <c r="K4" i="12"/>
  <c r="L4" i="12" s="1"/>
  <c r="P4" i="12" s="1"/>
  <c r="F10" i="5" s="1"/>
  <c r="K3" i="1"/>
  <c r="L3" i="1" s="1"/>
  <c r="K4" i="6"/>
  <c r="L4" i="6" s="1"/>
  <c r="P4" i="6" s="1"/>
  <c r="R4" i="6" s="1"/>
  <c r="K2" i="3"/>
  <c r="L2" i="3" s="1"/>
  <c r="P2" i="3" s="1"/>
  <c r="R2" i="3" s="1"/>
  <c r="K4" i="11"/>
  <c r="L4" i="11" s="1"/>
  <c r="P4" i="11" s="1"/>
  <c r="R4" i="11" s="1"/>
  <c r="K2" i="1"/>
  <c r="L2" i="1" s="1"/>
  <c r="K3" i="14"/>
  <c r="L3" i="14" s="1"/>
  <c r="P3" i="14" s="1"/>
  <c r="Q3" i="14" s="1"/>
  <c r="K3" i="11"/>
  <c r="L3" i="11" s="1"/>
  <c r="P3" i="11" s="1"/>
  <c r="Q3" i="11" s="1"/>
  <c r="K3" i="12"/>
  <c r="L3" i="12" s="1"/>
  <c r="P3" i="12" s="1"/>
  <c r="R3" i="12" s="1"/>
  <c r="K2" i="14"/>
  <c r="L2" i="14" s="1"/>
  <c r="P2" i="14" s="1"/>
  <c r="R2" i="14" s="1"/>
  <c r="K3" i="13"/>
  <c r="L3" i="13" s="1"/>
  <c r="P3" i="13" s="1"/>
  <c r="R3" i="13" s="1"/>
  <c r="K3" i="10"/>
  <c r="L3" i="10" s="1"/>
  <c r="P3" i="10" s="1"/>
  <c r="R3" i="10" s="1"/>
  <c r="K2" i="15"/>
  <c r="L2" i="15" s="1"/>
  <c r="P2" i="15" s="1"/>
  <c r="R2" i="15" s="1"/>
  <c r="K4" i="14"/>
  <c r="L4" i="14" s="1"/>
  <c r="P4" i="14" s="1"/>
  <c r="F12" i="5" s="1"/>
  <c r="K2" i="6"/>
  <c r="L2" i="6" s="1"/>
  <c r="P2" i="6" s="1"/>
  <c r="R2" i="6" s="1"/>
  <c r="K3" i="6"/>
  <c r="L3" i="6" s="1"/>
  <c r="P3" i="6" s="1"/>
  <c r="R3" i="6" s="1"/>
  <c r="K4" i="10"/>
  <c r="L4" i="10" s="1"/>
  <c r="P4" i="10" s="1"/>
  <c r="Q4" i="10" s="1"/>
  <c r="K3" i="3"/>
  <c r="L3" i="3" s="1"/>
  <c r="P3" i="3" s="1"/>
  <c r="R3" i="3" s="1"/>
  <c r="K2" i="10"/>
  <c r="L2" i="10" s="1"/>
  <c r="P2" i="10" s="1"/>
  <c r="R2" i="10" s="1"/>
  <c r="K2" i="13"/>
  <c r="L2" i="13" s="1"/>
  <c r="P2" i="13" s="1"/>
  <c r="R2" i="13" s="1"/>
  <c r="K2" i="4"/>
  <c r="L2" i="4" s="1"/>
  <c r="P2" i="4" s="1"/>
  <c r="Q2" i="4" s="1"/>
  <c r="K3" i="15"/>
  <c r="L3" i="15" s="1"/>
  <c r="P3" i="15" s="1"/>
  <c r="R3" i="15" s="1"/>
  <c r="K4" i="9"/>
  <c r="L4" i="9" s="1"/>
  <c r="P4" i="9" s="1"/>
  <c r="F6" i="5" s="1"/>
  <c r="K4" i="15"/>
  <c r="L4" i="15" s="1"/>
  <c r="P4" i="15" s="1"/>
  <c r="F13" i="5" s="1"/>
  <c r="K2" i="11"/>
  <c r="L2" i="11" s="1"/>
  <c r="P2" i="11" s="1"/>
  <c r="R2" i="11" s="1"/>
  <c r="C31" i="9"/>
  <c r="C32" i="9" s="1"/>
  <c r="C31" i="12"/>
  <c r="C32" i="12" s="1"/>
  <c r="C31" i="15"/>
  <c r="C32" i="15" s="1"/>
  <c r="M8" i="1"/>
  <c r="K8" i="1"/>
  <c r="I8" i="1"/>
  <c r="H9" i="1"/>
  <c r="M5" i="4"/>
  <c r="H5" i="3"/>
  <c r="H5" i="14"/>
  <c r="H5" i="15"/>
  <c r="H5" i="10"/>
  <c r="H5" i="11"/>
  <c r="H5" i="13"/>
  <c r="H5" i="12"/>
  <c r="H5" i="6"/>
  <c r="H5" i="8"/>
  <c r="H5" i="9"/>
  <c r="K4" i="4"/>
  <c r="L4" i="4" s="1"/>
  <c r="P4" i="4" s="1"/>
  <c r="I5" i="4"/>
  <c r="C32" i="13"/>
  <c r="H6" i="4"/>
  <c r="M6" i="1"/>
  <c r="K6" i="1"/>
  <c r="I6" i="1"/>
  <c r="M4" i="1"/>
  <c r="C29" i="1"/>
  <c r="M5" i="1"/>
  <c r="K5" i="1"/>
  <c r="I5" i="1"/>
  <c r="M7" i="1"/>
  <c r="K7" i="1"/>
  <c r="I7" i="1"/>
  <c r="J7" i="1" s="1"/>
  <c r="P7" i="1" s="1"/>
  <c r="C31" i="1" l="1"/>
  <c r="N3" i="1"/>
  <c r="N2" i="1"/>
  <c r="N4" i="1"/>
  <c r="Q4" i="1" s="1"/>
  <c r="D33" i="14"/>
  <c r="Q4" i="11"/>
  <c r="R4" i="8"/>
  <c r="R4" i="3"/>
  <c r="B33" i="8"/>
  <c r="B33" i="14"/>
  <c r="B35" i="8"/>
  <c r="D33" i="8"/>
  <c r="Q3" i="4"/>
  <c r="B34" i="14"/>
  <c r="Q4" i="12"/>
  <c r="F7" i="5"/>
  <c r="Q2" i="15"/>
  <c r="Q2" i="11"/>
  <c r="B34" i="4"/>
  <c r="F4" i="5"/>
  <c r="F8" i="5"/>
  <c r="R4" i="12"/>
  <c r="B35" i="4"/>
  <c r="Q3" i="12"/>
  <c r="R4" i="10"/>
  <c r="R2" i="4"/>
  <c r="Q4" i="8"/>
  <c r="D33" i="4"/>
  <c r="Q3" i="15"/>
  <c r="R4" i="14"/>
  <c r="Q3" i="3"/>
  <c r="Q2" i="12"/>
  <c r="Q2" i="14"/>
  <c r="B34" i="10"/>
  <c r="Q4" i="14"/>
  <c r="D33" i="10"/>
  <c r="Q2" i="9"/>
  <c r="B35" i="10"/>
  <c r="F9" i="5"/>
  <c r="Q4" i="13"/>
  <c r="Q4" i="9"/>
  <c r="Q4" i="6"/>
  <c r="R2" i="8"/>
  <c r="Q3" i="13"/>
  <c r="Q2" i="10"/>
  <c r="Q2" i="6"/>
  <c r="Q3" i="8"/>
  <c r="Q3" i="10"/>
  <c r="R3" i="14"/>
  <c r="Q4" i="15"/>
  <c r="F11" i="5"/>
  <c r="R4" i="9"/>
  <c r="Q2" i="3"/>
  <c r="Q3" i="6"/>
  <c r="Q3" i="9"/>
  <c r="R3" i="11"/>
  <c r="R4" i="15"/>
  <c r="Q2" i="13"/>
  <c r="B35" i="15"/>
  <c r="B33" i="15"/>
  <c r="B34" i="15"/>
  <c r="D33" i="15"/>
  <c r="B33" i="12"/>
  <c r="B34" i="12"/>
  <c r="B35" i="12"/>
  <c r="D33" i="12"/>
  <c r="D33" i="9"/>
  <c r="B35" i="9"/>
  <c r="B33" i="9"/>
  <c r="B34" i="9"/>
  <c r="B35" i="3"/>
  <c r="B34" i="3"/>
  <c r="D33" i="3"/>
  <c r="B33" i="3"/>
  <c r="N5" i="4"/>
  <c r="G42" i="5" s="1"/>
  <c r="J5" i="4"/>
  <c r="O5" i="4" s="1"/>
  <c r="M5" i="3"/>
  <c r="K5" i="3"/>
  <c r="I5" i="3"/>
  <c r="B33" i="11"/>
  <c r="B34" i="11"/>
  <c r="D33" i="11"/>
  <c r="B35" i="11"/>
  <c r="Q4" i="4"/>
  <c r="R4" i="4"/>
  <c r="F14" i="5"/>
  <c r="M5" i="12"/>
  <c r="K5" i="12"/>
  <c r="I5" i="12"/>
  <c r="J5" i="12" s="1"/>
  <c r="O5" i="12" s="1"/>
  <c r="M5" i="10"/>
  <c r="K5" i="10"/>
  <c r="I5" i="10"/>
  <c r="J5" i="10" s="1"/>
  <c r="O5" i="10" s="1"/>
  <c r="O6" i="1"/>
  <c r="L6" i="1"/>
  <c r="O8" i="1"/>
  <c r="L8" i="1"/>
  <c r="C30" i="1"/>
  <c r="J6" i="1"/>
  <c r="P6" i="1" s="1"/>
  <c r="M5" i="9"/>
  <c r="K5" i="9"/>
  <c r="I5" i="9"/>
  <c r="J5" i="9" s="1"/>
  <c r="O5" i="9" s="1"/>
  <c r="M5" i="13"/>
  <c r="K5" i="13"/>
  <c r="I5" i="13"/>
  <c r="J5" i="13" s="1"/>
  <c r="O5" i="13" s="1"/>
  <c r="M5" i="15"/>
  <c r="K5" i="15"/>
  <c r="I5" i="15"/>
  <c r="J5" i="15" s="1"/>
  <c r="O5" i="15" s="1"/>
  <c r="J8" i="1"/>
  <c r="P8" i="1" s="1"/>
  <c r="L5" i="1"/>
  <c r="O5" i="1"/>
  <c r="B34" i="6"/>
  <c r="B35" i="6"/>
  <c r="D33" i="6"/>
  <c r="B33" i="6"/>
  <c r="M5" i="6"/>
  <c r="K5" i="6"/>
  <c r="I5" i="6"/>
  <c r="J5" i="6" s="1"/>
  <c r="O5" i="6" s="1"/>
  <c r="O7" i="1"/>
  <c r="L7" i="1"/>
  <c r="J5" i="1"/>
  <c r="P5" i="1" s="1"/>
  <c r="M6" i="4"/>
  <c r="H6" i="12"/>
  <c r="H6" i="15"/>
  <c r="H6" i="8"/>
  <c r="H6" i="13"/>
  <c r="H6" i="9"/>
  <c r="H6" i="6"/>
  <c r="H6" i="10"/>
  <c r="H6" i="3"/>
  <c r="H6" i="11"/>
  <c r="H6" i="14"/>
  <c r="K5" i="4"/>
  <c r="L5" i="4" s="1"/>
  <c r="P5" i="4" s="1"/>
  <c r="I6" i="4"/>
  <c r="H7" i="4"/>
  <c r="B33" i="13"/>
  <c r="B35" i="13"/>
  <c r="D33" i="13"/>
  <c r="B34" i="13"/>
  <c r="M5" i="8"/>
  <c r="K5" i="8"/>
  <c r="I5" i="8"/>
  <c r="M5" i="11"/>
  <c r="K5" i="11"/>
  <c r="I5" i="11"/>
  <c r="J5" i="11" s="1"/>
  <c r="O5" i="11" s="1"/>
  <c r="M5" i="14"/>
  <c r="K5" i="14"/>
  <c r="I5" i="14"/>
  <c r="M9" i="1"/>
  <c r="K9" i="1"/>
  <c r="I9" i="1"/>
  <c r="J9" i="1" s="1"/>
  <c r="P9" i="1" s="1"/>
  <c r="H10" i="1"/>
  <c r="R4" i="1" l="1"/>
  <c r="R3" i="1"/>
  <c r="Q3" i="1"/>
  <c r="Q2" i="1"/>
  <c r="R2" i="1"/>
  <c r="N6" i="1"/>
  <c r="N7" i="1"/>
  <c r="N5" i="1"/>
  <c r="N8" i="1"/>
  <c r="G14" i="5"/>
  <c r="R5" i="4"/>
  <c r="Q5" i="4"/>
  <c r="M10" i="1"/>
  <c r="K10" i="1"/>
  <c r="I10" i="1"/>
  <c r="J10" i="1" s="1"/>
  <c r="P10" i="1" s="1"/>
  <c r="H11" i="1"/>
  <c r="L5" i="14"/>
  <c r="P5" i="14" s="1"/>
  <c r="G12" i="5" s="1"/>
  <c r="N5" i="14"/>
  <c r="G40" i="5" s="1"/>
  <c r="L5" i="8"/>
  <c r="P5" i="8" s="1"/>
  <c r="G5" i="5" s="1"/>
  <c r="N5" i="8"/>
  <c r="G33" i="5" s="1"/>
  <c r="H7" i="10"/>
  <c r="M7" i="4"/>
  <c r="H7" i="9"/>
  <c r="H7" i="3"/>
  <c r="H7" i="8"/>
  <c r="H7" i="13"/>
  <c r="H7" i="6"/>
  <c r="H7" i="12"/>
  <c r="H7" i="11"/>
  <c r="H7" i="15"/>
  <c r="H7" i="14"/>
  <c r="K6" i="4"/>
  <c r="L6" i="4" s="1"/>
  <c r="P6" i="4" s="1"/>
  <c r="H14" i="5" s="1"/>
  <c r="I7" i="4"/>
  <c r="H8" i="4"/>
  <c r="M6" i="6"/>
  <c r="K6" i="6"/>
  <c r="I6" i="6"/>
  <c r="J6" i="6" s="1"/>
  <c r="O6" i="6" s="1"/>
  <c r="N6" i="4"/>
  <c r="H42" i="5" s="1"/>
  <c r="J6" i="4"/>
  <c r="O6" i="4" s="1"/>
  <c r="M6" i="9"/>
  <c r="K6" i="9"/>
  <c r="I6" i="9"/>
  <c r="J6" i="9" s="1"/>
  <c r="O6" i="9" s="1"/>
  <c r="M6" i="12"/>
  <c r="K6" i="12"/>
  <c r="I6" i="12"/>
  <c r="N5" i="15"/>
  <c r="G41" i="5" s="1"/>
  <c r="L5" i="15"/>
  <c r="P5" i="15" s="1"/>
  <c r="G13" i="5" s="1"/>
  <c r="N5" i="13"/>
  <c r="G39" i="5" s="1"/>
  <c r="L5" i="13"/>
  <c r="P5" i="13" s="1"/>
  <c r="G11" i="5" s="1"/>
  <c r="N5" i="9"/>
  <c r="G34" i="5" s="1"/>
  <c r="L5" i="9"/>
  <c r="P5" i="9" s="1"/>
  <c r="G6" i="5" s="1"/>
  <c r="L5" i="3"/>
  <c r="P5" i="3" s="1"/>
  <c r="G4" i="5" s="1"/>
  <c r="N5" i="3"/>
  <c r="G32" i="5" s="1"/>
  <c r="M6" i="14"/>
  <c r="K6" i="14"/>
  <c r="I6" i="14"/>
  <c r="J6" i="14" s="1"/>
  <c r="O6" i="14" s="1"/>
  <c r="M6" i="10"/>
  <c r="K6" i="10"/>
  <c r="I6" i="10"/>
  <c r="M6" i="8"/>
  <c r="K6" i="8"/>
  <c r="I6" i="8"/>
  <c r="J6" i="8" s="1"/>
  <c r="O6" i="8" s="1"/>
  <c r="O9" i="1"/>
  <c r="L9" i="1"/>
  <c r="L5" i="11"/>
  <c r="P5" i="11" s="1"/>
  <c r="G8" i="5" s="1"/>
  <c r="N5" i="11"/>
  <c r="G36" i="5" s="1"/>
  <c r="M6" i="11"/>
  <c r="K6" i="11"/>
  <c r="I6" i="11"/>
  <c r="M6" i="15"/>
  <c r="K6" i="15"/>
  <c r="I6" i="15"/>
  <c r="J5" i="14"/>
  <c r="O5" i="14" s="1"/>
  <c r="J5" i="8"/>
  <c r="O5" i="8" s="1"/>
  <c r="M6" i="3"/>
  <c r="K6" i="3"/>
  <c r="I6" i="3"/>
  <c r="J6" i="3" s="1"/>
  <c r="O6" i="3" s="1"/>
  <c r="M6" i="13"/>
  <c r="K6" i="13"/>
  <c r="I6" i="13"/>
  <c r="J6" i="13" s="1"/>
  <c r="O6" i="13" s="1"/>
  <c r="N5" i="6"/>
  <c r="G37" i="5" s="1"/>
  <c r="L5" i="6"/>
  <c r="P5" i="6" s="1"/>
  <c r="G9" i="5" s="1"/>
  <c r="C32" i="1"/>
  <c r="B34" i="1" s="1"/>
  <c r="N5" i="10"/>
  <c r="G35" i="5" s="1"/>
  <c r="L5" i="10"/>
  <c r="P5" i="10" s="1"/>
  <c r="G7" i="5" s="1"/>
  <c r="N5" i="12"/>
  <c r="G38" i="5" s="1"/>
  <c r="L5" i="12"/>
  <c r="P5" i="12" s="1"/>
  <c r="G10" i="5" s="1"/>
  <c r="J5" i="3"/>
  <c r="O5" i="3" s="1"/>
  <c r="R6" i="1" l="1"/>
  <c r="Q6" i="1"/>
  <c r="Q8" i="1"/>
  <c r="R8" i="1"/>
  <c r="Q5" i="1"/>
  <c r="R5" i="1"/>
  <c r="Q7" i="1"/>
  <c r="R7" i="1"/>
  <c r="N9" i="1"/>
  <c r="Q5" i="13"/>
  <c r="Q5" i="14"/>
  <c r="R5" i="14"/>
  <c r="R5" i="13"/>
  <c r="R5" i="15"/>
  <c r="Q5" i="11"/>
  <c r="R5" i="3"/>
  <c r="Q5" i="3"/>
  <c r="Q5" i="8"/>
  <c r="R5" i="12"/>
  <c r="Q5" i="10"/>
  <c r="R5" i="11"/>
  <c r="R5" i="6"/>
  <c r="N6" i="11"/>
  <c r="H36" i="5" s="1"/>
  <c r="L6" i="11"/>
  <c r="P6" i="11" s="1"/>
  <c r="H8" i="5" s="1"/>
  <c r="N6" i="15"/>
  <c r="H41" i="5" s="1"/>
  <c r="L6" i="15"/>
  <c r="P6" i="15" s="1"/>
  <c r="H13" i="5" s="1"/>
  <c r="N6" i="10"/>
  <c r="H35" i="5" s="1"/>
  <c r="L6" i="10"/>
  <c r="P6" i="10" s="1"/>
  <c r="H7" i="5" s="1"/>
  <c r="R6" i="4"/>
  <c r="B33" i="1"/>
  <c r="D33" i="1"/>
  <c r="B35" i="1"/>
  <c r="Q6" i="4"/>
  <c r="J6" i="11"/>
  <c r="O6" i="11" s="1"/>
  <c r="J6" i="10"/>
  <c r="O6" i="10" s="1"/>
  <c r="L6" i="12"/>
  <c r="P6" i="12" s="1"/>
  <c r="H10" i="5" s="1"/>
  <c r="N6" i="12"/>
  <c r="H38" i="5" s="1"/>
  <c r="N6" i="9"/>
  <c r="H34" i="5" s="1"/>
  <c r="L6" i="9"/>
  <c r="P6" i="9" s="1"/>
  <c r="H6" i="5" s="1"/>
  <c r="R5" i="9"/>
  <c r="N7" i="4"/>
  <c r="I42" i="5" s="1"/>
  <c r="M7" i="11"/>
  <c r="K7" i="11"/>
  <c r="I7" i="11"/>
  <c r="J7" i="11" s="1"/>
  <c r="O7" i="11" s="1"/>
  <c r="M7" i="8"/>
  <c r="K7" i="8"/>
  <c r="I7" i="8"/>
  <c r="J7" i="8" s="1"/>
  <c r="O7" i="8" s="1"/>
  <c r="M7" i="10"/>
  <c r="K7" i="10"/>
  <c r="I7" i="10"/>
  <c r="J7" i="10" s="1"/>
  <c r="O7" i="10" s="1"/>
  <c r="M11" i="1"/>
  <c r="K11" i="1"/>
  <c r="I11" i="1"/>
  <c r="J11" i="1" s="1"/>
  <c r="P11" i="1" s="1"/>
  <c r="H12" i="1"/>
  <c r="Q5" i="15"/>
  <c r="N6" i="13"/>
  <c r="H39" i="5" s="1"/>
  <c r="L6" i="13"/>
  <c r="P6" i="13" s="1"/>
  <c r="H11" i="5" s="1"/>
  <c r="N6" i="3"/>
  <c r="H32" i="5" s="1"/>
  <c r="L6" i="3"/>
  <c r="P6" i="3" s="1"/>
  <c r="H4" i="5" s="1"/>
  <c r="J6" i="15"/>
  <c r="O6" i="15" s="1"/>
  <c r="R5" i="10"/>
  <c r="Q5" i="6"/>
  <c r="M7" i="12"/>
  <c r="K7" i="12"/>
  <c r="I7" i="12"/>
  <c r="J7" i="12" s="1"/>
  <c r="O7" i="12" s="1"/>
  <c r="M7" i="3"/>
  <c r="K7" i="3"/>
  <c r="I7" i="3"/>
  <c r="J7" i="3" s="1"/>
  <c r="O7" i="3" s="1"/>
  <c r="J7" i="4"/>
  <c r="O7" i="4" s="1"/>
  <c r="L10" i="1"/>
  <c r="O10" i="1"/>
  <c r="M7" i="14"/>
  <c r="K7" i="14"/>
  <c r="I7" i="14"/>
  <c r="J7" i="14" s="1"/>
  <c r="O7" i="14" s="1"/>
  <c r="M7" i="6"/>
  <c r="K7" i="6"/>
  <c r="I7" i="6"/>
  <c r="J7" i="6" s="1"/>
  <c r="O7" i="6" s="1"/>
  <c r="M7" i="9"/>
  <c r="K7" i="9"/>
  <c r="I7" i="9"/>
  <c r="L6" i="8"/>
  <c r="P6" i="8" s="1"/>
  <c r="H5" i="5" s="1"/>
  <c r="N6" i="8"/>
  <c r="H33" i="5" s="1"/>
  <c r="N6" i="14"/>
  <c r="H40" i="5" s="1"/>
  <c r="L6" i="14"/>
  <c r="P6" i="14" s="1"/>
  <c r="H12" i="5" s="1"/>
  <c r="Q5" i="12"/>
  <c r="J6" i="12"/>
  <c r="O6" i="12" s="1"/>
  <c r="Q5" i="9"/>
  <c r="L6" i="6"/>
  <c r="P6" i="6" s="1"/>
  <c r="H9" i="5" s="1"/>
  <c r="N6" i="6"/>
  <c r="H37" i="5" s="1"/>
  <c r="H8" i="11"/>
  <c r="H8" i="9"/>
  <c r="H8" i="10"/>
  <c r="H8" i="14"/>
  <c r="M8" i="4"/>
  <c r="H8" i="8"/>
  <c r="H8" i="13"/>
  <c r="H8" i="6"/>
  <c r="H8" i="3"/>
  <c r="H8" i="15"/>
  <c r="H8" i="12"/>
  <c r="K7" i="4"/>
  <c r="L7" i="4" s="1"/>
  <c r="P7" i="4" s="1"/>
  <c r="I8" i="4"/>
  <c r="H9" i="4"/>
  <c r="M7" i="15"/>
  <c r="K7" i="15"/>
  <c r="I7" i="15"/>
  <c r="J7" i="15" s="1"/>
  <c r="O7" i="15" s="1"/>
  <c r="M7" i="13"/>
  <c r="K7" i="13"/>
  <c r="I7" i="13"/>
  <c r="J7" i="13" s="1"/>
  <c r="O7" i="13" s="1"/>
  <c r="R5" i="8"/>
  <c r="R9" i="1" l="1"/>
  <c r="Q9" i="1"/>
  <c r="N10" i="1"/>
  <c r="R6" i="12"/>
  <c r="R6" i="10"/>
  <c r="R6" i="9"/>
  <c r="Q6" i="10"/>
  <c r="Q6" i="9"/>
  <c r="Q6" i="3"/>
  <c r="R6" i="11"/>
  <c r="R6" i="3"/>
  <c r="Q6" i="12"/>
  <c r="Q6" i="11"/>
  <c r="I14" i="5"/>
  <c r="R7" i="4"/>
  <c r="Q7" i="4"/>
  <c r="M8" i="6"/>
  <c r="K8" i="6"/>
  <c r="I8" i="6"/>
  <c r="M8" i="11"/>
  <c r="K8" i="11"/>
  <c r="I8" i="11"/>
  <c r="L7" i="9"/>
  <c r="P7" i="9" s="1"/>
  <c r="I6" i="5" s="1"/>
  <c r="N7" i="9"/>
  <c r="I34" i="5" s="1"/>
  <c r="M8" i="12"/>
  <c r="K8" i="12"/>
  <c r="I8" i="12"/>
  <c r="M8" i="13"/>
  <c r="K8" i="13"/>
  <c r="I8" i="13"/>
  <c r="M8" i="10"/>
  <c r="K8" i="10"/>
  <c r="I8" i="10"/>
  <c r="J8" i="10" s="1"/>
  <c r="O8" i="10" s="1"/>
  <c r="M12" i="1"/>
  <c r="K12" i="1"/>
  <c r="I12" i="1"/>
  <c r="J12" i="1" s="1"/>
  <c r="P12" i="1" s="1"/>
  <c r="H13" i="1"/>
  <c r="R6" i="13"/>
  <c r="R6" i="15"/>
  <c r="N7" i="13"/>
  <c r="I39" i="5" s="1"/>
  <c r="L7" i="13"/>
  <c r="P7" i="13" s="1"/>
  <c r="I11" i="5" s="1"/>
  <c r="N7" i="15"/>
  <c r="I41" i="5" s="1"/>
  <c r="L7" i="15"/>
  <c r="P7" i="15" s="1"/>
  <c r="I13" i="5" s="1"/>
  <c r="H9" i="14"/>
  <c r="H9" i="13"/>
  <c r="M9" i="4"/>
  <c r="H9" i="8"/>
  <c r="H9" i="12"/>
  <c r="H9" i="11"/>
  <c r="H9" i="6"/>
  <c r="H9" i="3"/>
  <c r="H9" i="15"/>
  <c r="H9" i="10"/>
  <c r="H9" i="9"/>
  <c r="K8" i="4"/>
  <c r="L8" i="4" s="1"/>
  <c r="P8" i="4" s="1"/>
  <c r="I9" i="4"/>
  <c r="J9" i="4" s="1"/>
  <c r="O9" i="4" s="1"/>
  <c r="H10" i="4"/>
  <c r="M8" i="15"/>
  <c r="K8" i="15"/>
  <c r="I8" i="15"/>
  <c r="J8" i="15" s="1"/>
  <c r="O8" i="15" s="1"/>
  <c r="M8" i="8"/>
  <c r="K8" i="8"/>
  <c r="I8" i="8"/>
  <c r="M8" i="9"/>
  <c r="K8" i="9"/>
  <c r="I8" i="9"/>
  <c r="L11" i="1"/>
  <c r="O11" i="1"/>
  <c r="N7" i="10"/>
  <c r="I35" i="5" s="1"/>
  <c r="L7" i="10"/>
  <c r="P7" i="10" s="1"/>
  <c r="I7" i="5" s="1"/>
  <c r="N7" i="8"/>
  <c r="I33" i="5" s="1"/>
  <c r="L7" i="8"/>
  <c r="P7" i="8" s="1"/>
  <c r="I5" i="5" s="1"/>
  <c r="L7" i="11"/>
  <c r="P7" i="11" s="1"/>
  <c r="I8" i="5" s="1"/>
  <c r="N7" i="11"/>
  <c r="I36" i="5" s="1"/>
  <c r="Q6" i="8"/>
  <c r="Q6" i="13"/>
  <c r="C33" i="2"/>
  <c r="D33" i="2" s="1"/>
  <c r="E33" i="2" s="1"/>
  <c r="Q6" i="15"/>
  <c r="N8" i="4"/>
  <c r="J42" i="5" s="1"/>
  <c r="M8" i="3"/>
  <c r="K8" i="3"/>
  <c r="I8" i="3"/>
  <c r="J8" i="3" s="1"/>
  <c r="O8" i="3" s="1"/>
  <c r="J8" i="4"/>
  <c r="O8" i="4" s="1"/>
  <c r="J7" i="9"/>
  <c r="O7" i="9" s="1"/>
  <c r="N7" i="3"/>
  <c r="I32" i="5" s="1"/>
  <c r="L7" i="3"/>
  <c r="P7" i="3" s="1"/>
  <c r="I4" i="5" s="1"/>
  <c r="N7" i="12"/>
  <c r="I38" i="5" s="1"/>
  <c r="L7" i="12"/>
  <c r="P7" i="12" s="1"/>
  <c r="I10" i="5" s="1"/>
  <c r="Q6" i="6"/>
  <c r="Q6" i="14"/>
  <c r="R6" i="8"/>
  <c r="M8" i="14"/>
  <c r="K8" i="14"/>
  <c r="I8" i="14"/>
  <c r="J8" i="14" s="1"/>
  <c r="O8" i="14" s="1"/>
  <c r="L7" i="6"/>
  <c r="P7" i="6" s="1"/>
  <c r="I9" i="5" s="1"/>
  <c r="N7" i="6"/>
  <c r="I37" i="5" s="1"/>
  <c r="L7" i="14"/>
  <c r="P7" i="14" s="1"/>
  <c r="I12" i="5" s="1"/>
  <c r="N7" i="14"/>
  <c r="I40" i="5" s="1"/>
  <c r="R6" i="6"/>
  <c r="R6" i="14"/>
  <c r="R10" i="1" l="1"/>
  <c r="Q10" i="1"/>
  <c r="N11" i="1"/>
  <c r="Q7" i="10"/>
  <c r="R7" i="10"/>
  <c r="R7" i="9"/>
  <c r="Q7" i="9"/>
  <c r="R7" i="6"/>
  <c r="J14" i="5"/>
  <c r="R8" i="4"/>
  <c r="Q7" i="14"/>
  <c r="Q8" i="4"/>
  <c r="Q7" i="3"/>
  <c r="D9" i="2"/>
  <c r="D8" i="2"/>
  <c r="D11" i="2"/>
  <c r="D10" i="2"/>
  <c r="D12" i="2"/>
  <c r="D13" i="2"/>
  <c r="Q7" i="6"/>
  <c r="R7" i="3"/>
  <c r="N8" i="9"/>
  <c r="J34" i="5" s="1"/>
  <c r="L8" i="9"/>
  <c r="P8" i="9" s="1"/>
  <c r="J6" i="5" s="1"/>
  <c r="L8" i="8"/>
  <c r="P8" i="8" s="1"/>
  <c r="J5" i="5" s="1"/>
  <c r="N8" i="8"/>
  <c r="J33" i="5" s="1"/>
  <c r="N8" i="15"/>
  <c r="J41" i="5" s="1"/>
  <c r="L8" i="15"/>
  <c r="P8" i="15" s="1"/>
  <c r="J13" i="5" s="1"/>
  <c r="H10" i="9"/>
  <c r="H10" i="13"/>
  <c r="H10" i="3"/>
  <c r="H10" i="8"/>
  <c r="H10" i="15"/>
  <c r="H10" i="12"/>
  <c r="H10" i="11"/>
  <c r="H10" i="6"/>
  <c r="M10" i="4"/>
  <c r="H10" i="10"/>
  <c r="H10" i="14"/>
  <c r="K9" i="4"/>
  <c r="L9" i="4" s="1"/>
  <c r="P9" i="4" s="1"/>
  <c r="K14" i="5" s="1"/>
  <c r="I10" i="4"/>
  <c r="H11" i="4"/>
  <c r="M9" i="10"/>
  <c r="K9" i="10"/>
  <c r="I9" i="10"/>
  <c r="J9" i="10" s="1"/>
  <c r="O9" i="10" s="1"/>
  <c r="R7" i="13"/>
  <c r="R7" i="8"/>
  <c r="M13" i="1"/>
  <c r="K13" i="1"/>
  <c r="I13" i="1"/>
  <c r="J13" i="1" s="1"/>
  <c r="P13" i="1" s="1"/>
  <c r="H14" i="1"/>
  <c r="N9" i="4"/>
  <c r="K42" i="5" s="1"/>
  <c r="M9" i="15"/>
  <c r="K9" i="15"/>
  <c r="I9" i="15"/>
  <c r="M9" i="11"/>
  <c r="K9" i="11"/>
  <c r="I9" i="11"/>
  <c r="M9" i="13"/>
  <c r="K9" i="13"/>
  <c r="I9" i="13"/>
  <c r="Q7" i="8"/>
  <c r="L12" i="1"/>
  <c r="O12" i="1"/>
  <c r="L8" i="10"/>
  <c r="P8" i="10" s="1"/>
  <c r="J7" i="5" s="1"/>
  <c r="N8" i="10"/>
  <c r="J35" i="5" s="1"/>
  <c r="L8" i="13"/>
  <c r="P8" i="13" s="1"/>
  <c r="J11" i="5" s="1"/>
  <c r="N8" i="13"/>
  <c r="J39" i="5" s="1"/>
  <c r="N8" i="12"/>
  <c r="J38" i="5" s="1"/>
  <c r="L8" i="12"/>
  <c r="P8" i="12" s="1"/>
  <c r="J10" i="5" s="1"/>
  <c r="R7" i="15"/>
  <c r="L8" i="11"/>
  <c r="P8" i="11" s="1"/>
  <c r="J8" i="5" s="1"/>
  <c r="N8" i="11"/>
  <c r="J36" i="5" s="1"/>
  <c r="N8" i="6"/>
  <c r="J37" i="5" s="1"/>
  <c r="L8" i="6"/>
  <c r="P8" i="6" s="1"/>
  <c r="J9" i="5" s="1"/>
  <c r="L8" i="3"/>
  <c r="P8" i="3" s="1"/>
  <c r="J4" i="5" s="1"/>
  <c r="N8" i="3"/>
  <c r="J32" i="5" s="1"/>
  <c r="R7" i="12"/>
  <c r="M9" i="3"/>
  <c r="K9" i="3"/>
  <c r="I9" i="3"/>
  <c r="J9" i="3" s="1"/>
  <c r="O9" i="3" s="1"/>
  <c r="M9" i="12"/>
  <c r="K9" i="12"/>
  <c r="I9" i="12"/>
  <c r="J9" i="12" s="1"/>
  <c r="O9" i="12" s="1"/>
  <c r="M9" i="14"/>
  <c r="K9" i="14"/>
  <c r="I9" i="14"/>
  <c r="J9" i="14" s="1"/>
  <c r="O9" i="14" s="1"/>
  <c r="Q7" i="11"/>
  <c r="Q7" i="15"/>
  <c r="N8" i="14"/>
  <c r="J40" i="5" s="1"/>
  <c r="L8" i="14"/>
  <c r="P8" i="14" s="1"/>
  <c r="J12" i="5" s="1"/>
  <c r="R7" i="14"/>
  <c r="Q7" i="12"/>
  <c r="J8" i="9"/>
  <c r="O8" i="9" s="1"/>
  <c r="J8" i="8"/>
  <c r="O8" i="8" s="1"/>
  <c r="M9" i="9"/>
  <c r="K9" i="9"/>
  <c r="I9" i="9"/>
  <c r="M9" i="6"/>
  <c r="K9" i="6"/>
  <c r="I9" i="6"/>
  <c r="M9" i="8"/>
  <c r="K9" i="8"/>
  <c r="I9" i="8"/>
  <c r="J9" i="8" s="1"/>
  <c r="O9" i="8" s="1"/>
  <c r="Q7" i="13"/>
  <c r="R7" i="11"/>
  <c r="J8" i="13"/>
  <c r="O8" i="13" s="1"/>
  <c r="J8" i="12"/>
  <c r="O8" i="12" s="1"/>
  <c r="J8" i="11"/>
  <c r="O8" i="11" s="1"/>
  <c r="J8" i="6"/>
  <c r="O8" i="6" s="1"/>
  <c r="Q11" i="1" l="1"/>
  <c r="R11" i="1"/>
  <c r="N12" i="1"/>
  <c r="Q8" i="8"/>
  <c r="Q8" i="15"/>
  <c r="R8" i="15"/>
  <c r="Q8" i="9"/>
  <c r="R8" i="9"/>
  <c r="Q8" i="10"/>
  <c r="R8" i="8"/>
  <c r="Q8" i="11"/>
  <c r="R8" i="6"/>
  <c r="R8" i="14"/>
  <c r="Q8" i="13"/>
  <c r="Q8" i="14"/>
  <c r="R8" i="13"/>
  <c r="N9" i="9"/>
  <c r="K34" i="5" s="1"/>
  <c r="L9" i="9"/>
  <c r="P9" i="9" s="1"/>
  <c r="K6" i="5" s="1"/>
  <c r="N9" i="13"/>
  <c r="K39" i="5" s="1"/>
  <c r="L9" i="13"/>
  <c r="P9" i="13" s="1"/>
  <c r="K11" i="5" s="1"/>
  <c r="N9" i="15"/>
  <c r="K41" i="5" s="1"/>
  <c r="L9" i="15"/>
  <c r="P9" i="15" s="1"/>
  <c r="K13" i="5" s="1"/>
  <c r="R8" i="11"/>
  <c r="M10" i="8"/>
  <c r="K10" i="8"/>
  <c r="I10" i="8"/>
  <c r="J10" i="8" s="1"/>
  <c r="O10" i="8" s="1"/>
  <c r="L9" i="6"/>
  <c r="P9" i="6" s="1"/>
  <c r="K9" i="5" s="1"/>
  <c r="N9" i="6"/>
  <c r="K37" i="5" s="1"/>
  <c r="L9" i="11"/>
  <c r="P9" i="11" s="1"/>
  <c r="K8" i="5" s="1"/>
  <c r="N9" i="11"/>
  <c r="K36" i="5" s="1"/>
  <c r="N10" i="4"/>
  <c r="L42" i="5" s="1"/>
  <c r="M10" i="15"/>
  <c r="K10" i="15"/>
  <c r="I10" i="15"/>
  <c r="J10" i="15" s="1"/>
  <c r="O10" i="15" s="1"/>
  <c r="M10" i="9"/>
  <c r="K10" i="9"/>
  <c r="I10" i="9"/>
  <c r="R9" i="4"/>
  <c r="M10" i="6"/>
  <c r="K10" i="6"/>
  <c r="I10" i="6"/>
  <c r="J10" i="4"/>
  <c r="O10" i="4" s="1"/>
  <c r="Q8" i="3"/>
  <c r="R8" i="10"/>
  <c r="J9" i="9"/>
  <c r="O9" i="9" s="1"/>
  <c r="Q8" i="6"/>
  <c r="R8" i="12"/>
  <c r="M14" i="1"/>
  <c r="K14" i="1"/>
  <c r="I14" i="1"/>
  <c r="J14" i="1" s="1"/>
  <c r="P14" i="1" s="1"/>
  <c r="H15" i="1"/>
  <c r="Q9" i="4"/>
  <c r="M10" i="14"/>
  <c r="K10" i="14"/>
  <c r="I10" i="14"/>
  <c r="J10" i="14" s="1"/>
  <c r="O10" i="14" s="1"/>
  <c r="M10" i="11"/>
  <c r="K10" i="11"/>
  <c r="I10" i="11"/>
  <c r="J10" i="11" s="1"/>
  <c r="O10" i="11" s="1"/>
  <c r="M10" i="3"/>
  <c r="K10" i="3"/>
  <c r="I10" i="3"/>
  <c r="J10" i="3" s="1"/>
  <c r="O10" i="3" s="1"/>
  <c r="R8" i="3"/>
  <c r="B34" i="2"/>
  <c r="C34" i="2" s="1"/>
  <c r="D34" i="2" s="1"/>
  <c r="E34" i="2" s="1"/>
  <c r="N9" i="8"/>
  <c r="K33" i="5" s="1"/>
  <c r="L9" i="8"/>
  <c r="P9" i="8" s="1"/>
  <c r="K5" i="5" s="1"/>
  <c r="J9" i="6"/>
  <c r="O9" i="6" s="1"/>
  <c r="L9" i="14"/>
  <c r="P9" i="14" s="1"/>
  <c r="K12" i="5" s="1"/>
  <c r="N9" i="14"/>
  <c r="K40" i="5" s="1"/>
  <c r="L9" i="12"/>
  <c r="P9" i="12" s="1"/>
  <c r="K10" i="5" s="1"/>
  <c r="N9" i="12"/>
  <c r="K38" i="5" s="1"/>
  <c r="N9" i="3"/>
  <c r="K32" i="5" s="1"/>
  <c r="L9" i="3"/>
  <c r="P9" i="3" s="1"/>
  <c r="K4" i="5" s="1"/>
  <c r="J9" i="13"/>
  <c r="O9" i="13" s="1"/>
  <c r="J9" i="11"/>
  <c r="O9" i="11" s="1"/>
  <c r="J9" i="15"/>
  <c r="O9" i="15" s="1"/>
  <c r="Q8" i="12"/>
  <c r="O13" i="1"/>
  <c r="L13" i="1"/>
  <c r="N9" i="10"/>
  <c r="K35" i="5" s="1"/>
  <c r="L9" i="10"/>
  <c r="P9" i="10" s="1"/>
  <c r="K7" i="5" s="1"/>
  <c r="H11" i="10"/>
  <c r="M11" i="4"/>
  <c r="H11" i="13"/>
  <c r="H11" i="3"/>
  <c r="H11" i="14"/>
  <c r="H11" i="9"/>
  <c r="H11" i="6"/>
  <c r="H11" i="15"/>
  <c r="H11" i="11"/>
  <c r="H11" i="8"/>
  <c r="H11" i="12"/>
  <c r="K10" i="4"/>
  <c r="L10" i="4" s="1"/>
  <c r="P10" i="4" s="1"/>
  <c r="I11" i="4"/>
  <c r="H12" i="4"/>
  <c r="M10" i="10"/>
  <c r="K10" i="10"/>
  <c r="I10" i="10"/>
  <c r="J10" i="10" s="1"/>
  <c r="O10" i="10" s="1"/>
  <c r="M10" i="12"/>
  <c r="K10" i="12"/>
  <c r="I10" i="12"/>
  <c r="M10" i="13"/>
  <c r="K10" i="13"/>
  <c r="I10" i="13"/>
  <c r="J10" i="13" s="1"/>
  <c r="O10" i="13" s="1"/>
  <c r="R12" i="1" l="1"/>
  <c r="Q12" i="1"/>
  <c r="N13" i="1"/>
  <c r="Q9" i="9"/>
  <c r="R9" i="9"/>
  <c r="Q9" i="6"/>
  <c r="R9" i="15"/>
  <c r="Q9" i="15"/>
  <c r="R9" i="6"/>
  <c r="R9" i="8"/>
  <c r="R9" i="3"/>
  <c r="Q9" i="12"/>
  <c r="R9" i="11"/>
  <c r="Q9" i="8"/>
  <c r="Q9" i="3"/>
  <c r="L14" i="5"/>
  <c r="Q10" i="4"/>
  <c r="R10" i="4"/>
  <c r="E10" i="2"/>
  <c r="E11" i="2"/>
  <c r="E8" i="2"/>
  <c r="E12" i="2"/>
  <c r="E9" i="2"/>
  <c r="E13" i="2"/>
  <c r="N10" i="6"/>
  <c r="L37" i="5" s="1"/>
  <c r="L10" i="6"/>
  <c r="P10" i="6" s="1"/>
  <c r="L9" i="5" s="1"/>
  <c r="N10" i="9"/>
  <c r="L34" i="5" s="1"/>
  <c r="L10" i="9"/>
  <c r="P10" i="9" s="1"/>
  <c r="L6" i="5" s="1"/>
  <c r="L10" i="15"/>
  <c r="P10" i="15" s="1"/>
  <c r="L13" i="5" s="1"/>
  <c r="N10" i="15"/>
  <c r="L41" i="5" s="1"/>
  <c r="R9" i="12"/>
  <c r="N10" i="12"/>
  <c r="L38" i="5" s="1"/>
  <c r="L10" i="12"/>
  <c r="P10" i="12" s="1"/>
  <c r="L10" i="5" s="1"/>
  <c r="Q9" i="11"/>
  <c r="J10" i="12"/>
  <c r="O10" i="12" s="1"/>
  <c r="M11" i="15"/>
  <c r="K11" i="15"/>
  <c r="I11" i="15"/>
  <c r="L10" i="3"/>
  <c r="P10" i="3" s="1"/>
  <c r="L4" i="5" s="1"/>
  <c r="N10" i="3"/>
  <c r="L32" i="5" s="1"/>
  <c r="N10" i="11"/>
  <c r="L36" i="5" s="1"/>
  <c r="L10" i="11"/>
  <c r="P10" i="11" s="1"/>
  <c r="L8" i="5" s="1"/>
  <c r="N10" i="14"/>
  <c r="L40" i="5" s="1"/>
  <c r="L10" i="14"/>
  <c r="P10" i="14" s="1"/>
  <c r="L12" i="5" s="1"/>
  <c r="R9" i="10"/>
  <c r="R9" i="13"/>
  <c r="J10" i="6"/>
  <c r="O10" i="6" s="1"/>
  <c r="R9" i="14"/>
  <c r="N10" i="13"/>
  <c r="L39" i="5" s="1"/>
  <c r="L10" i="13"/>
  <c r="P10" i="13" s="1"/>
  <c r="L11" i="5" s="1"/>
  <c r="L10" i="10"/>
  <c r="P10" i="10" s="1"/>
  <c r="L7" i="5" s="1"/>
  <c r="N10" i="10"/>
  <c r="L35" i="5" s="1"/>
  <c r="M12" i="4"/>
  <c r="H12" i="10"/>
  <c r="H12" i="14"/>
  <c r="H12" i="13"/>
  <c r="H12" i="12"/>
  <c r="H12" i="9"/>
  <c r="H12" i="15"/>
  <c r="H12" i="8"/>
  <c r="H12" i="11"/>
  <c r="H12" i="3"/>
  <c r="H12" i="6"/>
  <c r="K11" i="4"/>
  <c r="L11" i="4" s="1"/>
  <c r="P11" i="4" s="1"/>
  <c r="M14" i="5" s="1"/>
  <c r="I12" i="4"/>
  <c r="H13" i="4"/>
  <c r="M11" i="8"/>
  <c r="K11" i="8"/>
  <c r="I11" i="8"/>
  <c r="M11" i="9"/>
  <c r="K11" i="9"/>
  <c r="I11" i="9"/>
  <c r="O14" i="1"/>
  <c r="L14" i="1"/>
  <c r="N11" i="4"/>
  <c r="M42" i="5" s="1"/>
  <c r="M11" i="11"/>
  <c r="K11" i="11"/>
  <c r="I11" i="11"/>
  <c r="M11" i="14"/>
  <c r="K11" i="14"/>
  <c r="I11" i="14"/>
  <c r="M11" i="10"/>
  <c r="K11" i="10"/>
  <c r="I11" i="10"/>
  <c r="M11" i="3"/>
  <c r="K11" i="3"/>
  <c r="I11" i="3"/>
  <c r="J11" i="3" s="1"/>
  <c r="O11" i="3" s="1"/>
  <c r="J11" i="4"/>
  <c r="O11" i="4" s="1"/>
  <c r="M11" i="12"/>
  <c r="K11" i="12"/>
  <c r="I11" i="12"/>
  <c r="J11" i="12" s="1"/>
  <c r="O11" i="12" s="1"/>
  <c r="M11" i="6"/>
  <c r="K11" i="6"/>
  <c r="I11" i="6"/>
  <c r="J11" i="6" s="1"/>
  <c r="O11" i="6" s="1"/>
  <c r="M11" i="13"/>
  <c r="K11" i="13"/>
  <c r="I11" i="13"/>
  <c r="J11" i="13" s="1"/>
  <c r="O11" i="13" s="1"/>
  <c r="Q9" i="10"/>
  <c r="M15" i="1"/>
  <c r="K15" i="1"/>
  <c r="I15" i="1"/>
  <c r="J15" i="1" s="1"/>
  <c r="P15" i="1" s="1"/>
  <c r="H16" i="1"/>
  <c r="Q9" i="13"/>
  <c r="J10" i="9"/>
  <c r="O10" i="9" s="1"/>
  <c r="N10" i="8"/>
  <c r="L33" i="5" s="1"/>
  <c r="L10" i="8"/>
  <c r="P10" i="8" s="1"/>
  <c r="L5" i="5" s="1"/>
  <c r="Q9" i="14"/>
  <c r="R10" i="13" l="1"/>
  <c r="Q13" i="1"/>
  <c r="R13" i="1"/>
  <c r="R10" i="9"/>
  <c r="N14" i="1"/>
  <c r="Q10" i="15"/>
  <c r="R10" i="6"/>
  <c r="Q10" i="13"/>
  <c r="Q10" i="6"/>
  <c r="R10" i="10"/>
  <c r="R10" i="15"/>
  <c r="Q10" i="12"/>
  <c r="R10" i="12"/>
  <c r="R10" i="14"/>
  <c r="Q10" i="14"/>
  <c r="Q10" i="9"/>
  <c r="N11" i="10"/>
  <c r="M35" i="5" s="1"/>
  <c r="L11" i="10"/>
  <c r="P11" i="10" s="1"/>
  <c r="M7" i="5" s="1"/>
  <c r="N11" i="8"/>
  <c r="M33" i="5" s="1"/>
  <c r="L11" i="8"/>
  <c r="P11" i="8" s="1"/>
  <c r="M5" i="5" s="1"/>
  <c r="M13" i="4"/>
  <c r="H13" i="14"/>
  <c r="H13" i="11"/>
  <c r="H13" i="8"/>
  <c r="H13" i="3"/>
  <c r="H13" i="12"/>
  <c r="H13" i="9"/>
  <c r="H13" i="10"/>
  <c r="H13" i="13"/>
  <c r="H13" i="15"/>
  <c r="H13" i="6"/>
  <c r="K12" i="4"/>
  <c r="L12" i="4" s="1"/>
  <c r="P12" i="4" s="1"/>
  <c r="I13" i="4"/>
  <c r="H14" i="4"/>
  <c r="M12" i="6"/>
  <c r="K12" i="6"/>
  <c r="I12" i="6"/>
  <c r="J12" i="6" s="1"/>
  <c r="O12" i="6" s="1"/>
  <c r="M12" i="15"/>
  <c r="K12" i="15"/>
  <c r="I12" i="15"/>
  <c r="J12" i="15" s="1"/>
  <c r="O12" i="15" s="1"/>
  <c r="M12" i="14"/>
  <c r="K12" i="14"/>
  <c r="I12" i="14"/>
  <c r="J12" i="14" s="1"/>
  <c r="O12" i="14" s="1"/>
  <c r="R10" i="8"/>
  <c r="N11" i="15"/>
  <c r="M41" i="5" s="1"/>
  <c r="L11" i="15"/>
  <c r="P11" i="15" s="1"/>
  <c r="M13" i="5" s="1"/>
  <c r="N11" i="11"/>
  <c r="M36" i="5" s="1"/>
  <c r="L11" i="11"/>
  <c r="P11" i="11" s="1"/>
  <c r="M8" i="5" s="1"/>
  <c r="N12" i="4"/>
  <c r="N42" i="5" s="1"/>
  <c r="M12" i="3"/>
  <c r="K12" i="3"/>
  <c r="I12" i="3"/>
  <c r="M12" i="9"/>
  <c r="K12" i="9"/>
  <c r="I12" i="9"/>
  <c r="M12" i="10"/>
  <c r="K12" i="10"/>
  <c r="I12" i="10"/>
  <c r="Q10" i="8"/>
  <c r="Q10" i="11"/>
  <c r="L11" i="14"/>
  <c r="P11" i="14" s="1"/>
  <c r="M12" i="5" s="1"/>
  <c r="N11" i="14"/>
  <c r="M40" i="5" s="1"/>
  <c r="O15" i="1"/>
  <c r="L15" i="1"/>
  <c r="L11" i="3"/>
  <c r="P11" i="3" s="1"/>
  <c r="M4" i="5" s="1"/>
  <c r="N11" i="3"/>
  <c r="M32" i="5" s="1"/>
  <c r="J11" i="10"/>
  <c r="O11" i="10" s="1"/>
  <c r="J11" i="14"/>
  <c r="O11" i="14" s="1"/>
  <c r="J11" i="11"/>
  <c r="O11" i="11" s="1"/>
  <c r="Q11" i="4"/>
  <c r="M12" i="11"/>
  <c r="K12" i="11"/>
  <c r="I12" i="11"/>
  <c r="J12" i="11" s="1"/>
  <c r="O12" i="11" s="1"/>
  <c r="M12" i="12"/>
  <c r="K12" i="12"/>
  <c r="I12" i="12"/>
  <c r="J12" i="12" s="1"/>
  <c r="O12" i="12" s="1"/>
  <c r="J11" i="15"/>
  <c r="O11" i="15" s="1"/>
  <c r="R10" i="3"/>
  <c r="R10" i="11"/>
  <c r="L11" i="9"/>
  <c r="P11" i="9" s="1"/>
  <c r="M6" i="5" s="1"/>
  <c r="N11" i="9"/>
  <c r="M34" i="5" s="1"/>
  <c r="M16" i="1"/>
  <c r="K16" i="1"/>
  <c r="I16" i="1"/>
  <c r="J16" i="1" s="1"/>
  <c r="P16" i="1" s="1"/>
  <c r="H17" i="1"/>
  <c r="N11" i="13"/>
  <c r="M39" i="5" s="1"/>
  <c r="L11" i="13"/>
  <c r="P11" i="13" s="1"/>
  <c r="M11" i="5" s="1"/>
  <c r="N11" i="6"/>
  <c r="M37" i="5" s="1"/>
  <c r="L11" i="6"/>
  <c r="P11" i="6" s="1"/>
  <c r="M9" i="5" s="1"/>
  <c r="N11" i="12"/>
  <c r="M38" i="5" s="1"/>
  <c r="L11" i="12"/>
  <c r="P11" i="12" s="1"/>
  <c r="M10" i="5" s="1"/>
  <c r="Q10" i="10"/>
  <c r="R11" i="4"/>
  <c r="J11" i="9"/>
  <c r="O11" i="9" s="1"/>
  <c r="J11" i="8"/>
  <c r="O11" i="8" s="1"/>
  <c r="J12" i="4"/>
  <c r="O12" i="4" s="1"/>
  <c r="M12" i="8"/>
  <c r="K12" i="8"/>
  <c r="I12" i="8"/>
  <c r="J12" i="8" s="1"/>
  <c r="O12" i="8" s="1"/>
  <c r="M12" i="13"/>
  <c r="K12" i="13"/>
  <c r="I12" i="13"/>
  <c r="Q10" i="3"/>
  <c r="B35" i="2"/>
  <c r="C35" i="2" s="1"/>
  <c r="D35" i="2" s="1"/>
  <c r="Q14" i="1" l="1"/>
  <c r="R14" i="1"/>
  <c r="N15" i="1"/>
  <c r="R11" i="8"/>
  <c r="Q11" i="8"/>
  <c r="Q11" i="3"/>
  <c r="Q11" i="14"/>
  <c r="R11" i="15"/>
  <c r="Q11" i="10"/>
  <c r="R11" i="10"/>
  <c r="Q11" i="15"/>
  <c r="R11" i="14"/>
  <c r="Q11" i="9"/>
  <c r="N14" i="5"/>
  <c r="Q12" i="4"/>
  <c r="R12" i="4"/>
  <c r="R11" i="11"/>
  <c r="Q11" i="11"/>
  <c r="R11" i="3"/>
  <c r="R11" i="9"/>
  <c r="R11" i="12"/>
  <c r="M17" i="1"/>
  <c r="K17" i="1"/>
  <c r="I17" i="1"/>
  <c r="H18" i="1"/>
  <c r="N12" i="10"/>
  <c r="N35" i="5" s="1"/>
  <c r="L12" i="10"/>
  <c r="P12" i="10" s="1"/>
  <c r="N7" i="5" s="1"/>
  <c r="N12" i="9"/>
  <c r="N34" i="5" s="1"/>
  <c r="L12" i="9"/>
  <c r="P12" i="9" s="1"/>
  <c r="N6" i="5" s="1"/>
  <c r="L12" i="3"/>
  <c r="P12" i="3" s="1"/>
  <c r="N4" i="5" s="1"/>
  <c r="N12" i="3"/>
  <c r="N32" i="5" s="1"/>
  <c r="N13" i="4"/>
  <c r="O42" i="5" s="1"/>
  <c r="M13" i="13"/>
  <c r="K13" i="13"/>
  <c r="I13" i="13"/>
  <c r="J13" i="13" s="1"/>
  <c r="O13" i="13" s="1"/>
  <c r="M13" i="3"/>
  <c r="K13" i="3"/>
  <c r="I13" i="3"/>
  <c r="J13" i="3" s="1"/>
  <c r="O13" i="3" s="1"/>
  <c r="N12" i="13"/>
  <c r="N39" i="5" s="1"/>
  <c r="L12" i="13"/>
  <c r="P12" i="13" s="1"/>
  <c r="N11" i="5" s="1"/>
  <c r="L16" i="1"/>
  <c r="O16" i="1"/>
  <c r="Q11" i="12"/>
  <c r="M13" i="10"/>
  <c r="K13" i="10"/>
  <c r="I13" i="10"/>
  <c r="J13" i="10" s="1"/>
  <c r="O13" i="10" s="1"/>
  <c r="M13" i="8"/>
  <c r="K13" i="8"/>
  <c r="I13" i="8"/>
  <c r="J13" i="8" s="1"/>
  <c r="O13" i="8" s="1"/>
  <c r="J13" i="4"/>
  <c r="O13" i="4" s="1"/>
  <c r="J12" i="13"/>
  <c r="O12" i="13" s="1"/>
  <c r="L12" i="12"/>
  <c r="P12" i="12" s="1"/>
  <c r="N10" i="5" s="1"/>
  <c r="N12" i="12"/>
  <c r="N38" i="5" s="1"/>
  <c r="N12" i="11"/>
  <c r="N36" i="5" s="1"/>
  <c r="L12" i="11"/>
  <c r="P12" i="11" s="1"/>
  <c r="N8" i="5" s="1"/>
  <c r="R11" i="6"/>
  <c r="Q11" i="13"/>
  <c r="J12" i="10"/>
  <c r="O12" i="10" s="1"/>
  <c r="J12" i="9"/>
  <c r="O12" i="9" s="1"/>
  <c r="J12" i="3"/>
  <c r="O12" i="3" s="1"/>
  <c r="M13" i="6"/>
  <c r="K13" i="6"/>
  <c r="I13" i="6"/>
  <c r="J13" i="6" s="1"/>
  <c r="O13" i="6" s="1"/>
  <c r="M13" i="9"/>
  <c r="K13" i="9"/>
  <c r="I13" i="9"/>
  <c r="J13" i="9" s="1"/>
  <c r="O13" i="9" s="1"/>
  <c r="M13" i="11"/>
  <c r="K13" i="11"/>
  <c r="I13" i="11"/>
  <c r="J13" i="11" s="1"/>
  <c r="O13" i="11" s="1"/>
  <c r="L12" i="8"/>
  <c r="P12" i="8" s="1"/>
  <c r="N5" i="5" s="1"/>
  <c r="N12" i="8"/>
  <c r="N33" i="5" s="1"/>
  <c r="Q11" i="6"/>
  <c r="R11" i="13"/>
  <c r="L12" i="14"/>
  <c r="P12" i="14" s="1"/>
  <c r="N12" i="5" s="1"/>
  <c r="N12" i="14"/>
  <c r="N40" i="5" s="1"/>
  <c r="L12" i="15"/>
  <c r="P12" i="15" s="1"/>
  <c r="N13" i="5" s="1"/>
  <c r="N12" i="15"/>
  <c r="N41" i="5" s="1"/>
  <c r="N12" i="6"/>
  <c r="N37" i="5" s="1"/>
  <c r="L12" i="6"/>
  <c r="P12" i="6" s="1"/>
  <c r="N9" i="5" s="1"/>
  <c r="M14" i="4"/>
  <c r="H14" i="10"/>
  <c r="H14" i="9"/>
  <c r="H14" i="12"/>
  <c r="H14" i="3"/>
  <c r="H14" i="13"/>
  <c r="H14" i="8"/>
  <c r="H14" i="15"/>
  <c r="H14" i="14"/>
  <c r="H14" i="6"/>
  <c r="H14" i="11"/>
  <c r="K13" i="4"/>
  <c r="L13" i="4" s="1"/>
  <c r="P13" i="4" s="1"/>
  <c r="I14" i="4"/>
  <c r="J14" i="4" s="1"/>
  <c r="O14" i="4" s="1"/>
  <c r="H15" i="4"/>
  <c r="M13" i="15"/>
  <c r="K13" i="15"/>
  <c r="I13" i="15"/>
  <c r="J13" i="15" s="1"/>
  <c r="O13" i="15" s="1"/>
  <c r="M13" i="12"/>
  <c r="K13" i="12"/>
  <c r="I13" i="12"/>
  <c r="J13" i="12" s="1"/>
  <c r="O13" i="12" s="1"/>
  <c r="M13" i="14"/>
  <c r="K13" i="14"/>
  <c r="I13" i="14"/>
  <c r="J13" i="14" s="1"/>
  <c r="O13" i="14" s="1"/>
  <c r="Q12" i="10" l="1"/>
  <c r="Q15" i="1"/>
  <c r="R15" i="1"/>
  <c r="N16" i="1"/>
  <c r="Q12" i="9"/>
  <c r="Q12" i="3"/>
  <c r="R12" i="10"/>
  <c r="R12" i="3"/>
  <c r="R12" i="9"/>
  <c r="O14" i="5"/>
  <c r="Q13" i="4"/>
  <c r="R13" i="4"/>
  <c r="M14" i="8"/>
  <c r="K14" i="8"/>
  <c r="I14" i="8"/>
  <c r="J14" i="8" s="1"/>
  <c r="O14" i="8" s="1"/>
  <c r="M14" i="9"/>
  <c r="K14" i="9"/>
  <c r="I14" i="9"/>
  <c r="R12" i="15"/>
  <c r="Q12" i="12"/>
  <c r="Q12" i="8"/>
  <c r="O17" i="1"/>
  <c r="L17" i="1"/>
  <c r="M14" i="11"/>
  <c r="K14" i="11"/>
  <c r="I14" i="11"/>
  <c r="J14" i="11" s="1"/>
  <c r="O14" i="11" s="1"/>
  <c r="N13" i="12"/>
  <c r="O38" i="5" s="1"/>
  <c r="L13" i="12"/>
  <c r="P13" i="12" s="1"/>
  <c r="O10" i="5" s="1"/>
  <c r="N13" i="15"/>
  <c r="O41" i="5" s="1"/>
  <c r="L13" i="15"/>
  <c r="P13" i="15" s="1"/>
  <c r="O13" i="5" s="1"/>
  <c r="M15" i="4"/>
  <c r="H15" i="13"/>
  <c r="H15" i="10"/>
  <c r="H15" i="15"/>
  <c r="H15" i="12"/>
  <c r="H15" i="3"/>
  <c r="H15" i="8"/>
  <c r="H15" i="11"/>
  <c r="H15" i="14"/>
  <c r="H15" i="6"/>
  <c r="H15" i="9"/>
  <c r="K14" i="4"/>
  <c r="L14" i="4" s="1"/>
  <c r="P14" i="4" s="1"/>
  <c r="I15" i="4"/>
  <c r="H16" i="4"/>
  <c r="M14" i="6"/>
  <c r="K14" i="6"/>
  <c r="I14" i="6"/>
  <c r="M14" i="13"/>
  <c r="K14" i="13"/>
  <c r="I14" i="13"/>
  <c r="M14" i="10"/>
  <c r="K14" i="10"/>
  <c r="I14" i="10"/>
  <c r="J14" i="10" s="1"/>
  <c r="O14" i="10" s="1"/>
  <c r="Q12" i="14"/>
  <c r="Q12" i="11"/>
  <c r="R12" i="13"/>
  <c r="M14" i="15"/>
  <c r="K14" i="15"/>
  <c r="I14" i="15"/>
  <c r="J14" i="15" s="1"/>
  <c r="O14" i="15" s="1"/>
  <c r="L13" i="14"/>
  <c r="P13" i="14" s="1"/>
  <c r="O12" i="5" s="1"/>
  <c r="N13" i="14"/>
  <c r="O40" i="5" s="1"/>
  <c r="N14" i="4"/>
  <c r="P42" i="5" s="1"/>
  <c r="M14" i="14"/>
  <c r="K14" i="14"/>
  <c r="I14" i="14"/>
  <c r="M14" i="3"/>
  <c r="K14" i="3"/>
  <c r="I14" i="3"/>
  <c r="J14" i="3" s="1"/>
  <c r="O14" i="3" s="1"/>
  <c r="R12" i="14"/>
  <c r="N13" i="8"/>
  <c r="O33" i="5" s="1"/>
  <c r="L13" i="8"/>
  <c r="P13" i="8" s="1"/>
  <c r="O5" i="5" s="1"/>
  <c r="N13" i="10"/>
  <c r="O35" i="5" s="1"/>
  <c r="L13" i="10"/>
  <c r="P13" i="10" s="1"/>
  <c r="O7" i="5" s="1"/>
  <c r="R12" i="6"/>
  <c r="R12" i="11"/>
  <c r="Q12" i="13"/>
  <c r="M14" i="12"/>
  <c r="K14" i="12"/>
  <c r="I14" i="12"/>
  <c r="J14" i="12" s="1"/>
  <c r="O14" i="12" s="1"/>
  <c r="L13" i="11"/>
  <c r="P13" i="11" s="1"/>
  <c r="O8" i="5" s="1"/>
  <c r="N13" i="11"/>
  <c r="O36" i="5" s="1"/>
  <c r="N13" i="9"/>
  <c r="O34" i="5" s="1"/>
  <c r="L13" i="9"/>
  <c r="P13" i="9" s="1"/>
  <c r="O6" i="5" s="1"/>
  <c r="L13" i="6"/>
  <c r="P13" i="6" s="1"/>
  <c r="O9" i="5" s="1"/>
  <c r="N13" i="6"/>
  <c r="O37" i="5" s="1"/>
  <c r="Q12" i="15"/>
  <c r="Q12" i="6"/>
  <c r="R12" i="12"/>
  <c r="R12" i="8"/>
  <c r="N13" i="3"/>
  <c r="O32" i="5" s="1"/>
  <c r="L13" i="3"/>
  <c r="P13" i="3" s="1"/>
  <c r="O4" i="5" s="1"/>
  <c r="N13" i="13"/>
  <c r="O39" i="5" s="1"/>
  <c r="L13" i="13"/>
  <c r="P13" i="13" s="1"/>
  <c r="O11" i="5" s="1"/>
  <c r="M18" i="1"/>
  <c r="K18" i="1"/>
  <c r="I18" i="1"/>
  <c r="J18" i="1" s="1"/>
  <c r="P18" i="1" s="1"/>
  <c r="H19" i="1"/>
  <c r="J17" i="1"/>
  <c r="P17" i="1" s="1"/>
  <c r="Q16" i="1" l="1"/>
  <c r="R16" i="1"/>
  <c r="N17" i="1"/>
  <c r="P14" i="5"/>
  <c r="R14" i="4"/>
  <c r="Q13" i="13"/>
  <c r="N14" i="14"/>
  <c r="P40" i="5" s="1"/>
  <c r="L14" i="14"/>
  <c r="P14" i="14" s="1"/>
  <c r="P12" i="5" s="1"/>
  <c r="O18" i="1"/>
  <c r="L18" i="1"/>
  <c r="R13" i="13"/>
  <c r="Q13" i="9"/>
  <c r="Q14" i="4"/>
  <c r="J14" i="14"/>
  <c r="O14" i="14" s="1"/>
  <c r="M15" i="9"/>
  <c r="K15" i="9"/>
  <c r="I15" i="9"/>
  <c r="J15" i="9" s="1"/>
  <c r="O15" i="9" s="1"/>
  <c r="M15" i="11"/>
  <c r="K15" i="11"/>
  <c r="I15" i="11"/>
  <c r="J15" i="11" s="1"/>
  <c r="O15" i="11" s="1"/>
  <c r="M15" i="15"/>
  <c r="K15" i="15"/>
  <c r="I15" i="15"/>
  <c r="J15" i="15" s="1"/>
  <c r="O15" i="15" s="1"/>
  <c r="L14" i="11"/>
  <c r="P14" i="11" s="1"/>
  <c r="P8" i="5" s="1"/>
  <c r="N14" i="11"/>
  <c r="P36" i="5" s="1"/>
  <c r="Q13" i="12"/>
  <c r="R13" i="14"/>
  <c r="R13" i="9"/>
  <c r="N14" i="10"/>
  <c r="P35" i="5" s="1"/>
  <c r="L14" i="10"/>
  <c r="P14" i="10" s="1"/>
  <c r="P7" i="5" s="1"/>
  <c r="L14" i="13"/>
  <c r="P14" i="13" s="1"/>
  <c r="P11" i="5" s="1"/>
  <c r="N14" i="13"/>
  <c r="P39" i="5" s="1"/>
  <c r="N14" i="6"/>
  <c r="P37" i="5" s="1"/>
  <c r="L14" i="6"/>
  <c r="P14" i="6" s="1"/>
  <c r="P9" i="5" s="1"/>
  <c r="M16" i="4"/>
  <c r="H16" i="14"/>
  <c r="H16" i="3"/>
  <c r="H16" i="9"/>
  <c r="H16" i="10"/>
  <c r="H16" i="15"/>
  <c r="H16" i="8"/>
  <c r="H16" i="12"/>
  <c r="H16" i="6"/>
  <c r="H16" i="11"/>
  <c r="H16" i="13"/>
  <c r="K15" i="4"/>
  <c r="L15" i="4" s="1"/>
  <c r="P15" i="4" s="1"/>
  <c r="I16" i="4"/>
  <c r="J16" i="4" s="1"/>
  <c r="O16" i="4" s="1"/>
  <c r="H17" i="4"/>
  <c r="M15" i="6"/>
  <c r="K15" i="6"/>
  <c r="I15" i="6"/>
  <c r="J15" i="6" s="1"/>
  <c r="O15" i="6" s="1"/>
  <c r="M15" i="8"/>
  <c r="K15" i="8"/>
  <c r="I15" i="8"/>
  <c r="J15" i="8" s="1"/>
  <c r="O15" i="8" s="1"/>
  <c r="M15" i="10"/>
  <c r="K15" i="10"/>
  <c r="I15" i="10"/>
  <c r="R13" i="12"/>
  <c r="N14" i="9"/>
  <c r="P34" i="5" s="1"/>
  <c r="L14" i="9"/>
  <c r="P14" i="9" s="1"/>
  <c r="P6" i="5" s="1"/>
  <c r="L14" i="8"/>
  <c r="P14" i="8" s="1"/>
  <c r="P5" i="5" s="1"/>
  <c r="N14" i="8"/>
  <c r="P33" i="5" s="1"/>
  <c r="R13" i="15"/>
  <c r="R13" i="6"/>
  <c r="R13" i="11"/>
  <c r="N14" i="15"/>
  <c r="P41" i="5" s="1"/>
  <c r="L14" i="15"/>
  <c r="P14" i="15" s="1"/>
  <c r="P13" i="5" s="1"/>
  <c r="N15" i="4"/>
  <c r="Q42" i="5" s="1"/>
  <c r="M15" i="14"/>
  <c r="K15" i="14"/>
  <c r="I15" i="14"/>
  <c r="J15" i="14" s="1"/>
  <c r="O15" i="14" s="1"/>
  <c r="M15" i="3"/>
  <c r="K15" i="3"/>
  <c r="I15" i="3"/>
  <c r="M15" i="13"/>
  <c r="K15" i="13"/>
  <c r="I15" i="13"/>
  <c r="R13" i="8"/>
  <c r="Q13" i="15"/>
  <c r="N14" i="12"/>
  <c r="P38" i="5" s="1"/>
  <c r="L14" i="12"/>
  <c r="P14" i="12" s="1"/>
  <c r="P10" i="5" s="1"/>
  <c r="N14" i="3"/>
  <c r="P32" i="5" s="1"/>
  <c r="L14" i="3"/>
  <c r="P14" i="3" s="1"/>
  <c r="P4" i="5" s="1"/>
  <c r="R13" i="3"/>
  <c r="Q13" i="10"/>
  <c r="M19" i="1"/>
  <c r="K19" i="1"/>
  <c r="I19" i="1"/>
  <c r="H20" i="1"/>
  <c r="Q13" i="6"/>
  <c r="Q13" i="11"/>
  <c r="Q13" i="3"/>
  <c r="R13" i="10"/>
  <c r="J14" i="13"/>
  <c r="O14" i="13" s="1"/>
  <c r="J14" i="6"/>
  <c r="O14" i="6" s="1"/>
  <c r="J15" i="4"/>
  <c r="O15" i="4" s="1"/>
  <c r="M15" i="12"/>
  <c r="K15" i="12"/>
  <c r="I15" i="12"/>
  <c r="Q13" i="8"/>
  <c r="J14" i="9"/>
  <c r="O14" i="9" s="1"/>
  <c r="Q13" i="14"/>
  <c r="R17" i="1" l="1"/>
  <c r="Q17" i="1"/>
  <c r="N18" i="1"/>
  <c r="R14" i="11"/>
  <c r="Q14" i="14"/>
  <c r="Q14" i="11"/>
  <c r="R14" i="8"/>
  <c r="Q14" i="10"/>
  <c r="R14" i="14"/>
  <c r="R14" i="10"/>
  <c r="Q14" i="8"/>
  <c r="Q14" i="5"/>
  <c r="Q15" i="4"/>
  <c r="R15" i="4"/>
  <c r="L19" i="1"/>
  <c r="O19" i="1"/>
  <c r="L15" i="13"/>
  <c r="P15" i="13" s="1"/>
  <c r="Q11" i="5" s="1"/>
  <c r="N15" i="13"/>
  <c r="Q39" i="5" s="1"/>
  <c r="N15" i="3"/>
  <c r="Q32" i="5" s="1"/>
  <c r="L15" i="3"/>
  <c r="P15" i="3" s="1"/>
  <c r="Q4" i="5" s="1"/>
  <c r="L15" i="14"/>
  <c r="P15" i="14" s="1"/>
  <c r="Q12" i="5" s="1"/>
  <c r="N15" i="14"/>
  <c r="Q40" i="5" s="1"/>
  <c r="N15" i="10"/>
  <c r="Q35" i="5" s="1"/>
  <c r="L15" i="10"/>
  <c r="P15" i="10" s="1"/>
  <c r="Q7" i="5" s="1"/>
  <c r="N15" i="8"/>
  <c r="Q33" i="5" s="1"/>
  <c r="L15" i="8"/>
  <c r="P15" i="8" s="1"/>
  <c r="Q5" i="5" s="1"/>
  <c r="L15" i="6"/>
  <c r="P15" i="6" s="1"/>
  <c r="Q9" i="5" s="1"/>
  <c r="N15" i="6"/>
  <c r="Q37" i="5" s="1"/>
  <c r="H17" i="11"/>
  <c r="H17" i="10"/>
  <c r="M17" i="4"/>
  <c r="H17" i="8"/>
  <c r="H17" i="9"/>
  <c r="H17" i="12"/>
  <c r="H17" i="14"/>
  <c r="H17" i="6"/>
  <c r="H17" i="3"/>
  <c r="H17" i="13"/>
  <c r="H17" i="15"/>
  <c r="K16" i="4"/>
  <c r="L16" i="4" s="1"/>
  <c r="P16" i="4" s="1"/>
  <c r="R14" i="5" s="1"/>
  <c r="I17" i="4"/>
  <c r="J17" i="4" s="1"/>
  <c r="O17" i="4" s="1"/>
  <c r="H18" i="4"/>
  <c r="M16" i="11"/>
  <c r="K16" i="11"/>
  <c r="I16" i="11"/>
  <c r="M16" i="15"/>
  <c r="K16" i="15"/>
  <c r="I16" i="15"/>
  <c r="M16" i="14"/>
  <c r="K16" i="14"/>
  <c r="I16" i="14"/>
  <c r="Q14" i="13"/>
  <c r="N16" i="4"/>
  <c r="R42" i="5" s="1"/>
  <c r="M16" i="6"/>
  <c r="K16" i="6"/>
  <c r="I16" i="6"/>
  <c r="J16" i="6" s="1"/>
  <c r="O16" i="6" s="1"/>
  <c r="M16" i="10"/>
  <c r="K16" i="10"/>
  <c r="I16" i="10"/>
  <c r="J16" i="10" s="1"/>
  <c r="O16" i="10" s="1"/>
  <c r="Q14" i="15"/>
  <c r="Q14" i="3"/>
  <c r="R14" i="9"/>
  <c r="R14" i="13"/>
  <c r="L15" i="12"/>
  <c r="P15" i="12" s="1"/>
  <c r="Q10" i="5" s="1"/>
  <c r="N15" i="12"/>
  <c r="Q38" i="5" s="1"/>
  <c r="R14" i="15"/>
  <c r="R14" i="3"/>
  <c r="Q14" i="9"/>
  <c r="N15" i="15"/>
  <c r="Q41" i="5" s="1"/>
  <c r="L15" i="15"/>
  <c r="P15" i="15" s="1"/>
  <c r="Q13" i="5" s="1"/>
  <c r="L15" i="11"/>
  <c r="P15" i="11" s="1"/>
  <c r="Q8" i="5" s="1"/>
  <c r="N15" i="11"/>
  <c r="Q36" i="5" s="1"/>
  <c r="N15" i="9"/>
  <c r="Q34" i="5" s="1"/>
  <c r="L15" i="9"/>
  <c r="P15" i="9" s="1"/>
  <c r="Q6" i="5" s="1"/>
  <c r="Q14" i="6"/>
  <c r="Q14" i="12"/>
  <c r="M16" i="12"/>
  <c r="K16" i="12"/>
  <c r="I16" i="12"/>
  <c r="J16" i="12" s="1"/>
  <c r="O16" i="12" s="1"/>
  <c r="M16" i="9"/>
  <c r="K16" i="9"/>
  <c r="I16" i="9"/>
  <c r="J16" i="9" s="1"/>
  <c r="O16" i="9" s="1"/>
  <c r="J15" i="12"/>
  <c r="O15" i="12" s="1"/>
  <c r="M20" i="1"/>
  <c r="K20" i="1"/>
  <c r="I20" i="1"/>
  <c r="J20" i="1" s="1"/>
  <c r="P20" i="1" s="1"/>
  <c r="H21" i="1"/>
  <c r="J19" i="1"/>
  <c r="P19" i="1" s="1"/>
  <c r="J15" i="13"/>
  <c r="O15" i="13" s="1"/>
  <c r="J15" i="3"/>
  <c r="O15" i="3" s="1"/>
  <c r="J15" i="10"/>
  <c r="O15" i="10" s="1"/>
  <c r="M16" i="13"/>
  <c r="K16" i="13"/>
  <c r="I16" i="13"/>
  <c r="J16" i="13" s="1"/>
  <c r="O16" i="13" s="1"/>
  <c r="M16" i="8"/>
  <c r="K16" i="8"/>
  <c r="I16" i="8"/>
  <c r="J16" i="8" s="1"/>
  <c r="O16" i="8" s="1"/>
  <c r="M16" i="3"/>
  <c r="K16" i="3"/>
  <c r="I16" i="3"/>
  <c r="J16" i="3" s="1"/>
  <c r="O16" i="3" s="1"/>
  <c r="R14" i="6"/>
  <c r="R14" i="12"/>
  <c r="Q18" i="1" l="1"/>
  <c r="R18" i="1"/>
  <c r="N19" i="1"/>
  <c r="R15" i="3"/>
  <c r="Q15" i="3"/>
  <c r="Q15" i="6"/>
  <c r="Q15" i="8"/>
  <c r="R15" i="8"/>
  <c r="Q15" i="14"/>
  <c r="R15" i="6"/>
  <c r="Q15" i="12"/>
  <c r="R15" i="11"/>
  <c r="R15" i="10"/>
  <c r="R15" i="13"/>
  <c r="Q15" i="11"/>
  <c r="Q16" i="4"/>
  <c r="R15" i="14"/>
  <c r="Q15" i="10"/>
  <c r="Q15" i="13"/>
  <c r="N16" i="14"/>
  <c r="R40" i="5" s="1"/>
  <c r="L16" i="14"/>
  <c r="P16" i="14" s="1"/>
  <c r="R12" i="5" s="1"/>
  <c r="N16" i="15"/>
  <c r="R41" i="5" s="1"/>
  <c r="L16" i="15"/>
  <c r="P16" i="15" s="1"/>
  <c r="R13" i="5" s="1"/>
  <c r="N16" i="11"/>
  <c r="R36" i="5" s="1"/>
  <c r="L16" i="11"/>
  <c r="P16" i="11" s="1"/>
  <c r="R8" i="5" s="1"/>
  <c r="H18" i="9"/>
  <c r="M18" i="4"/>
  <c r="H18" i="12"/>
  <c r="H18" i="3"/>
  <c r="H18" i="14"/>
  <c r="H18" i="13"/>
  <c r="H18" i="11"/>
  <c r="H18" i="15"/>
  <c r="H18" i="8"/>
  <c r="H18" i="10"/>
  <c r="H18" i="6"/>
  <c r="K17" i="4"/>
  <c r="L17" i="4" s="1"/>
  <c r="P17" i="4" s="1"/>
  <c r="I18" i="4"/>
  <c r="J18" i="4" s="1"/>
  <c r="O18" i="4" s="1"/>
  <c r="H19" i="4"/>
  <c r="M17" i="13"/>
  <c r="K17" i="13"/>
  <c r="I17" i="13"/>
  <c r="J17" i="13" s="1"/>
  <c r="O17" i="13" s="1"/>
  <c r="M17" i="12"/>
  <c r="K17" i="12"/>
  <c r="I17" i="12"/>
  <c r="L20" i="1"/>
  <c r="O20" i="1"/>
  <c r="N17" i="4"/>
  <c r="S42" i="5" s="1"/>
  <c r="M17" i="3"/>
  <c r="K17" i="3"/>
  <c r="I17" i="3"/>
  <c r="M17" i="9"/>
  <c r="K17" i="9"/>
  <c r="I17" i="9"/>
  <c r="M17" i="10"/>
  <c r="K17" i="10"/>
  <c r="I17" i="10"/>
  <c r="N16" i="8"/>
  <c r="R33" i="5" s="1"/>
  <c r="L16" i="8"/>
  <c r="P16" i="8" s="1"/>
  <c r="R5" i="5" s="1"/>
  <c r="N16" i="13"/>
  <c r="R39" i="5" s="1"/>
  <c r="L16" i="13"/>
  <c r="P16" i="13" s="1"/>
  <c r="R11" i="5" s="1"/>
  <c r="L16" i="9"/>
  <c r="P16" i="9" s="1"/>
  <c r="R6" i="5" s="1"/>
  <c r="N16" i="9"/>
  <c r="R34" i="5" s="1"/>
  <c r="N16" i="12"/>
  <c r="R38" i="5" s="1"/>
  <c r="L16" i="12"/>
  <c r="P16" i="12" s="1"/>
  <c r="R10" i="5" s="1"/>
  <c r="R15" i="12"/>
  <c r="Q15" i="9"/>
  <c r="R16" i="4"/>
  <c r="R15" i="15"/>
  <c r="J16" i="15"/>
  <c r="O16" i="15" s="1"/>
  <c r="M17" i="6"/>
  <c r="K17" i="6"/>
  <c r="I17" i="6"/>
  <c r="J17" i="6" s="1"/>
  <c r="O17" i="6" s="1"/>
  <c r="M17" i="8"/>
  <c r="K17" i="8"/>
  <c r="I17" i="8"/>
  <c r="J17" i="8" s="1"/>
  <c r="O17" i="8" s="1"/>
  <c r="M17" i="11"/>
  <c r="K17" i="11"/>
  <c r="I17" i="11"/>
  <c r="J17" i="11" s="1"/>
  <c r="O17" i="11" s="1"/>
  <c r="M21" i="1"/>
  <c r="K21" i="1"/>
  <c r="I21" i="1"/>
  <c r="J21" i="1" s="1"/>
  <c r="P21" i="1" s="1"/>
  <c r="H22" i="1"/>
  <c r="L16" i="3"/>
  <c r="P16" i="3" s="1"/>
  <c r="R4" i="5" s="1"/>
  <c r="N16" i="3"/>
  <c r="R32" i="5" s="1"/>
  <c r="R15" i="9"/>
  <c r="N16" i="10"/>
  <c r="R35" i="5" s="1"/>
  <c r="L16" i="10"/>
  <c r="P16" i="10" s="1"/>
  <c r="R7" i="5" s="1"/>
  <c r="L16" i="6"/>
  <c r="P16" i="6" s="1"/>
  <c r="R9" i="5" s="1"/>
  <c r="N16" i="6"/>
  <c r="R37" i="5" s="1"/>
  <c r="Q15" i="15"/>
  <c r="J16" i="14"/>
  <c r="O16" i="14" s="1"/>
  <c r="J16" i="11"/>
  <c r="O16" i="11" s="1"/>
  <c r="M17" i="15"/>
  <c r="K17" i="15"/>
  <c r="I17" i="15"/>
  <c r="M17" i="14"/>
  <c r="K17" i="14"/>
  <c r="I17" i="14"/>
  <c r="Q19" i="1" l="1"/>
  <c r="R19" i="1"/>
  <c r="N20" i="1"/>
  <c r="R16" i="15"/>
  <c r="Q16" i="15"/>
  <c r="Q16" i="11"/>
  <c r="R16" i="14"/>
  <c r="S14" i="5"/>
  <c r="R17" i="4"/>
  <c r="Q17" i="4"/>
  <c r="R16" i="6"/>
  <c r="R16" i="11"/>
  <c r="R16" i="9"/>
  <c r="Q16" i="14"/>
  <c r="O21" i="1"/>
  <c r="L21" i="1"/>
  <c r="N17" i="11"/>
  <c r="S36" i="5" s="1"/>
  <c r="L17" i="11"/>
  <c r="P17" i="11" s="1"/>
  <c r="S8" i="5" s="1"/>
  <c r="N17" i="8"/>
  <c r="S33" i="5" s="1"/>
  <c r="L17" i="8"/>
  <c r="P17" i="8" s="1"/>
  <c r="S5" i="5" s="1"/>
  <c r="N17" i="6"/>
  <c r="S37" i="5" s="1"/>
  <c r="L17" i="6"/>
  <c r="P17" i="6" s="1"/>
  <c r="S9" i="5" s="1"/>
  <c r="R16" i="10"/>
  <c r="Q16" i="12"/>
  <c r="Q16" i="8"/>
  <c r="M18" i="15"/>
  <c r="K18" i="15"/>
  <c r="I18" i="15"/>
  <c r="M18" i="3"/>
  <c r="K18" i="3"/>
  <c r="I18" i="3"/>
  <c r="J18" i="3" s="1"/>
  <c r="O18" i="3" s="1"/>
  <c r="N17" i="14"/>
  <c r="S40" i="5" s="1"/>
  <c r="L17" i="14"/>
  <c r="P17" i="14" s="1"/>
  <c r="S12" i="5" s="1"/>
  <c r="Q16" i="10"/>
  <c r="N17" i="10"/>
  <c r="S35" i="5" s="1"/>
  <c r="L17" i="10"/>
  <c r="P17" i="10" s="1"/>
  <c r="S7" i="5" s="1"/>
  <c r="L17" i="9"/>
  <c r="P17" i="9" s="1"/>
  <c r="S6" i="5" s="1"/>
  <c r="N17" i="9"/>
  <c r="S34" i="5" s="1"/>
  <c r="N17" i="3"/>
  <c r="S32" i="5" s="1"/>
  <c r="L17" i="3"/>
  <c r="P17" i="3" s="1"/>
  <c r="S4" i="5" s="1"/>
  <c r="R16" i="13"/>
  <c r="L17" i="12"/>
  <c r="P17" i="12" s="1"/>
  <c r="S10" i="5" s="1"/>
  <c r="N17" i="12"/>
  <c r="S38" i="5" s="1"/>
  <c r="L17" i="13"/>
  <c r="P17" i="13" s="1"/>
  <c r="S11" i="5" s="1"/>
  <c r="N17" i="13"/>
  <c r="S39" i="5" s="1"/>
  <c r="H19" i="15"/>
  <c r="M19" i="4"/>
  <c r="H19" i="8"/>
  <c r="H19" i="3"/>
  <c r="H19" i="14"/>
  <c r="H19" i="11"/>
  <c r="H19" i="6"/>
  <c r="H19" i="13"/>
  <c r="H19" i="9"/>
  <c r="H19" i="10"/>
  <c r="H19" i="12"/>
  <c r="K18" i="4"/>
  <c r="L18" i="4" s="1"/>
  <c r="P18" i="4" s="1"/>
  <c r="T14" i="5" s="1"/>
  <c r="I19" i="4"/>
  <c r="J19" i="4" s="1"/>
  <c r="O19" i="4" s="1"/>
  <c r="H20" i="4"/>
  <c r="M18" i="6"/>
  <c r="K18" i="6"/>
  <c r="I18" i="6"/>
  <c r="M18" i="11"/>
  <c r="K18" i="11"/>
  <c r="I18" i="11"/>
  <c r="M18" i="12"/>
  <c r="K18" i="12"/>
  <c r="I18" i="12"/>
  <c r="N17" i="15"/>
  <c r="S41" i="5" s="1"/>
  <c r="L17" i="15"/>
  <c r="P17" i="15" s="1"/>
  <c r="S13" i="5" s="1"/>
  <c r="Q16" i="9"/>
  <c r="Q16" i="13"/>
  <c r="N18" i="4"/>
  <c r="T42" i="5" s="1"/>
  <c r="M18" i="10"/>
  <c r="K18" i="10"/>
  <c r="I18" i="10"/>
  <c r="J18" i="10" s="1"/>
  <c r="O18" i="10" s="1"/>
  <c r="M18" i="13"/>
  <c r="K18" i="13"/>
  <c r="I18" i="13"/>
  <c r="J18" i="13" s="1"/>
  <c r="O18" i="13" s="1"/>
  <c r="R16" i="3"/>
  <c r="J17" i="14"/>
  <c r="O17" i="14" s="1"/>
  <c r="J17" i="15"/>
  <c r="O17" i="15" s="1"/>
  <c r="M22" i="1"/>
  <c r="K22" i="1"/>
  <c r="I22" i="1"/>
  <c r="J22" i="1" s="1"/>
  <c r="P22" i="1" s="1"/>
  <c r="H23" i="1"/>
  <c r="Q16" i="6"/>
  <c r="J17" i="10"/>
  <c r="O17" i="10" s="1"/>
  <c r="J17" i="9"/>
  <c r="O17" i="9" s="1"/>
  <c r="J17" i="3"/>
  <c r="O17" i="3" s="1"/>
  <c r="R16" i="12"/>
  <c r="R16" i="8"/>
  <c r="J17" i="12"/>
  <c r="O17" i="12" s="1"/>
  <c r="M18" i="8"/>
  <c r="K18" i="8"/>
  <c r="I18" i="8"/>
  <c r="J18" i="8" s="1"/>
  <c r="O18" i="8" s="1"/>
  <c r="M18" i="14"/>
  <c r="K18" i="14"/>
  <c r="I18" i="14"/>
  <c r="J18" i="14" s="1"/>
  <c r="O18" i="14" s="1"/>
  <c r="M18" i="9"/>
  <c r="K18" i="9"/>
  <c r="I18" i="9"/>
  <c r="J18" i="9" s="1"/>
  <c r="O18" i="9" s="1"/>
  <c r="Q16" i="3"/>
  <c r="Q20" i="1" l="1"/>
  <c r="R20" i="1"/>
  <c r="N21" i="1"/>
  <c r="Q17" i="13"/>
  <c r="R17" i="13"/>
  <c r="Q17" i="8"/>
  <c r="R17" i="8"/>
  <c r="R17" i="11"/>
  <c r="R17" i="6"/>
  <c r="Q17" i="6"/>
  <c r="Q17" i="11"/>
  <c r="R18" i="4"/>
  <c r="Q18" i="4"/>
  <c r="Q17" i="9"/>
  <c r="M23" i="1"/>
  <c r="K23" i="1"/>
  <c r="I23" i="1"/>
  <c r="H24" i="1"/>
  <c r="N18" i="12"/>
  <c r="T38" i="5" s="1"/>
  <c r="L18" i="12"/>
  <c r="P18" i="12" s="1"/>
  <c r="T10" i="5" s="1"/>
  <c r="N18" i="11"/>
  <c r="T36" i="5" s="1"/>
  <c r="L18" i="11"/>
  <c r="P18" i="11" s="1"/>
  <c r="T8" i="5" s="1"/>
  <c r="N18" i="6"/>
  <c r="T37" i="5" s="1"/>
  <c r="L18" i="6"/>
  <c r="P18" i="6" s="1"/>
  <c r="T9" i="5" s="1"/>
  <c r="M20" i="4"/>
  <c r="H20" i="12"/>
  <c r="H20" i="15"/>
  <c r="H20" i="11"/>
  <c r="H20" i="10"/>
  <c r="H20" i="6"/>
  <c r="H20" i="13"/>
  <c r="H20" i="9"/>
  <c r="H20" i="3"/>
  <c r="H20" i="8"/>
  <c r="H20" i="14"/>
  <c r="K19" i="4"/>
  <c r="L19" i="4" s="1"/>
  <c r="P19" i="4" s="1"/>
  <c r="I20" i="4"/>
  <c r="J20" i="4" s="1"/>
  <c r="O20" i="4" s="1"/>
  <c r="H21" i="4"/>
  <c r="M19" i="6"/>
  <c r="K19" i="6"/>
  <c r="I19" i="6"/>
  <c r="J19" i="6" s="1"/>
  <c r="O19" i="6" s="1"/>
  <c r="M19" i="8"/>
  <c r="K19" i="8"/>
  <c r="I19" i="8"/>
  <c r="J19" i="8" s="1"/>
  <c r="O19" i="8" s="1"/>
  <c r="Q17" i="15"/>
  <c r="N19" i="4"/>
  <c r="U42" i="5" s="1"/>
  <c r="M19" i="10"/>
  <c r="K19" i="10"/>
  <c r="I19" i="10"/>
  <c r="J19" i="10" s="1"/>
  <c r="O19" i="10" s="1"/>
  <c r="M19" i="11"/>
  <c r="K19" i="11"/>
  <c r="I19" i="11"/>
  <c r="J19" i="11" s="1"/>
  <c r="O19" i="11" s="1"/>
  <c r="N18" i="3"/>
  <c r="T32" i="5" s="1"/>
  <c r="L18" i="3"/>
  <c r="P18" i="3" s="1"/>
  <c r="T4" i="5" s="1"/>
  <c r="L18" i="15"/>
  <c r="P18" i="15" s="1"/>
  <c r="T13" i="5" s="1"/>
  <c r="N18" i="15"/>
  <c r="T41" i="5" s="1"/>
  <c r="R17" i="12"/>
  <c r="R17" i="3"/>
  <c r="R17" i="10"/>
  <c r="R17" i="15"/>
  <c r="O22" i="1"/>
  <c r="L22" i="1"/>
  <c r="L18" i="13"/>
  <c r="P18" i="13" s="1"/>
  <c r="T11" i="5" s="1"/>
  <c r="N18" i="13"/>
  <c r="T39" i="5" s="1"/>
  <c r="L18" i="10"/>
  <c r="P18" i="10" s="1"/>
  <c r="T7" i="5" s="1"/>
  <c r="N18" i="10"/>
  <c r="T35" i="5" s="1"/>
  <c r="J18" i="11"/>
  <c r="O18" i="11" s="1"/>
  <c r="M19" i="9"/>
  <c r="K19" i="9"/>
  <c r="I19" i="9"/>
  <c r="J19" i="9" s="1"/>
  <c r="O19" i="9" s="1"/>
  <c r="M19" i="14"/>
  <c r="K19" i="14"/>
  <c r="I19" i="14"/>
  <c r="J19" i="14" s="1"/>
  <c r="O19" i="14" s="1"/>
  <c r="M19" i="15"/>
  <c r="K19" i="15"/>
  <c r="I19" i="15"/>
  <c r="J19" i="15" s="1"/>
  <c r="O19" i="15" s="1"/>
  <c r="Q17" i="12"/>
  <c r="Q17" i="3"/>
  <c r="Q17" i="10"/>
  <c r="R17" i="14"/>
  <c r="N18" i="9"/>
  <c r="T34" i="5" s="1"/>
  <c r="L18" i="9"/>
  <c r="P18" i="9" s="1"/>
  <c r="T6" i="5" s="1"/>
  <c r="N18" i="14"/>
  <c r="T40" i="5" s="1"/>
  <c r="L18" i="14"/>
  <c r="P18" i="14" s="1"/>
  <c r="T12" i="5" s="1"/>
  <c r="L18" i="8"/>
  <c r="P18" i="8" s="1"/>
  <c r="T5" i="5" s="1"/>
  <c r="N18" i="8"/>
  <c r="T33" i="5" s="1"/>
  <c r="J18" i="12"/>
  <c r="O18" i="12" s="1"/>
  <c r="J18" i="6"/>
  <c r="O18" i="6" s="1"/>
  <c r="M19" i="12"/>
  <c r="K19" i="12"/>
  <c r="I19" i="12"/>
  <c r="M19" i="13"/>
  <c r="K19" i="13"/>
  <c r="I19" i="13"/>
  <c r="J19" i="13" s="1"/>
  <c r="O19" i="13" s="1"/>
  <c r="M19" i="3"/>
  <c r="K19" i="3"/>
  <c r="I19" i="3"/>
  <c r="J19" i="3" s="1"/>
  <c r="O19" i="3" s="1"/>
  <c r="J18" i="15"/>
  <c r="O18" i="15" s="1"/>
  <c r="R17" i="9"/>
  <c r="Q17" i="14"/>
  <c r="Q21" i="1" l="1"/>
  <c r="R21" i="1"/>
  <c r="N22" i="1"/>
  <c r="R18" i="11"/>
  <c r="R18" i="3"/>
  <c r="Q18" i="3"/>
  <c r="Q18" i="11"/>
  <c r="Q18" i="12"/>
  <c r="R18" i="12"/>
  <c r="Q18" i="6"/>
  <c r="R18" i="6"/>
  <c r="U14" i="5"/>
  <c r="R19" i="4"/>
  <c r="Q19" i="4"/>
  <c r="N19" i="12"/>
  <c r="U38" i="5" s="1"/>
  <c r="L19" i="12"/>
  <c r="P19" i="12" s="1"/>
  <c r="U10" i="5" s="1"/>
  <c r="J19" i="12"/>
  <c r="O19" i="12" s="1"/>
  <c r="R18" i="8"/>
  <c r="Q18" i="9"/>
  <c r="R18" i="15"/>
  <c r="M20" i="9"/>
  <c r="K20" i="9"/>
  <c r="I20" i="9"/>
  <c r="J20" i="9" s="1"/>
  <c r="O20" i="9" s="1"/>
  <c r="M20" i="11"/>
  <c r="K20" i="11"/>
  <c r="I20" i="11"/>
  <c r="Q18" i="10"/>
  <c r="O23" i="1"/>
  <c r="L23" i="1"/>
  <c r="R18" i="14"/>
  <c r="N19" i="11"/>
  <c r="U36" i="5" s="1"/>
  <c r="L19" i="11"/>
  <c r="P19" i="11" s="1"/>
  <c r="U8" i="5" s="1"/>
  <c r="N19" i="10"/>
  <c r="U35" i="5" s="1"/>
  <c r="L19" i="10"/>
  <c r="P19" i="10" s="1"/>
  <c r="U7" i="5" s="1"/>
  <c r="Q18" i="15"/>
  <c r="M20" i="14"/>
  <c r="K20" i="14"/>
  <c r="I20" i="14"/>
  <c r="J20" i="14" s="1"/>
  <c r="O20" i="14" s="1"/>
  <c r="M20" i="13"/>
  <c r="K20" i="13"/>
  <c r="I20" i="13"/>
  <c r="J20" i="13" s="1"/>
  <c r="O20" i="13" s="1"/>
  <c r="M20" i="15"/>
  <c r="K20" i="15"/>
  <c r="I20" i="15"/>
  <c r="J20" i="15" s="1"/>
  <c r="O20" i="15" s="1"/>
  <c r="Q18" i="13"/>
  <c r="L19" i="13"/>
  <c r="P19" i="13" s="1"/>
  <c r="U11" i="5" s="1"/>
  <c r="N19" i="13"/>
  <c r="U39" i="5" s="1"/>
  <c r="N19" i="15"/>
  <c r="U41" i="5" s="1"/>
  <c r="L19" i="15"/>
  <c r="P19" i="15" s="1"/>
  <c r="U13" i="5" s="1"/>
  <c r="N19" i="14"/>
  <c r="U40" i="5" s="1"/>
  <c r="L19" i="14"/>
  <c r="P19" i="14" s="1"/>
  <c r="U12" i="5" s="1"/>
  <c r="N19" i="9"/>
  <c r="U34" i="5" s="1"/>
  <c r="L19" i="9"/>
  <c r="P19" i="9" s="1"/>
  <c r="U6" i="5" s="1"/>
  <c r="Q18" i="14"/>
  <c r="L19" i="8"/>
  <c r="P19" i="8" s="1"/>
  <c r="U5" i="5" s="1"/>
  <c r="N19" i="8"/>
  <c r="U33" i="5" s="1"/>
  <c r="N19" i="6"/>
  <c r="U37" i="5" s="1"/>
  <c r="L19" i="6"/>
  <c r="P19" i="6" s="1"/>
  <c r="U9" i="5" s="1"/>
  <c r="M21" i="4"/>
  <c r="H21" i="8"/>
  <c r="H21" i="13"/>
  <c r="H21" i="10"/>
  <c r="H21" i="12"/>
  <c r="H21" i="15"/>
  <c r="H21" i="14"/>
  <c r="H21" i="9"/>
  <c r="H21" i="6"/>
  <c r="H21" i="3"/>
  <c r="H21" i="11"/>
  <c r="K20" i="4"/>
  <c r="L20" i="4" s="1"/>
  <c r="P20" i="4" s="1"/>
  <c r="V14" i="5" s="1"/>
  <c r="I21" i="4"/>
  <c r="H22" i="4"/>
  <c r="M20" i="8"/>
  <c r="K20" i="8"/>
  <c r="I20" i="8"/>
  <c r="J20" i="8" s="1"/>
  <c r="O20" i="8" s="1"/>
  <c r="M20" i="6"/>
  <c r="K20" i="6"/>
  <c r="I20" i="6"/>
  <c r="J20" i="6" s="1"/>
  <c r="O20" i="6" s="1"/>
  <c r="M20" i="12"/>
  <c r="K20" i="12"/>
  <c r="I20" i="12"/>
  <c r="R18" i="13"/>
  <c r="N19" i="3"/>
  <c r="U32" i="5" s="1"/>
  <c r="L19" i="3"/>
  <c r="P19" i="3" s="1"/>
  <c r="U4" i="5" s="1"/>
  <c r="Q18" i="8"/>
  <c r="R18" i="9"/>
  <c r="N20" i="4"/>
  <c r="V42" i="5" s="1"/>
  <c r="M20" i="3"/>
  <c r="K20" i="3"/>
  <c r="I20" i="3"/>
  <c r="M20" i="10"/>
  <c r="K20" i="10"/>
  <c r="I20" i="10"/>
  <c r="J20" i="10" s="1"/>
  <c r="O20" i="10" s="1"/>
  <c r="R18" i="10"/>
  <c r="M24" i="1"/>
  <c r="K24" i="1"/>
  <c r="I24" i="1"/>
  <c r="H25" i="1"/>
  <c r="J23" i="1"/>
  <c r="P23" i="1" s="1"/>
  <c r="Q22" i="1" l="1"/>
  <c r="R22" i="1"/>
  <c r="N23" i="1"/>
  <c r="R19" i="10"/>
  <c r="R19" i="11"/>
  <c r="Q19" i="10"/>
  <c r="Q19" i="11"/>
  <c r="M25" i="1"/>
  <c r="K25" i="1"/>
  <c r="I25" i="1"/>
  <c r="H26" i="1"/>
  <c r="N20" i="10"/>
  <c r="V35" i="5" s="1"/>
  <c r="L20" i="10"/>
  <c r="P20" i="10" s="1"/>
  <c r="V7" i="5" s="1"/>
  <c r="N20" i="3"/>
  <c r="V32" i="5" s="1"/>
  <c r="L20" i="3"/>
  <c r="P20" i="3" s="1"/>
  <c r="V4" i="5" s="1"/>
  <c r="M21" i="11"/>
  <c r="K21" i="11"/>
  <c r="I21" i="11"/>
  <c r="J21" i="11" s="1"/>
  <c r="O21" i="11" s="1"/>
  <c r="M21" i="14"/>
  <c r="K21" i="14"/>
  <c r="I21" i="14"/>
  <c r="J21" i="14" s="1"/>
  <c r="O21" i="14" s="1"/>
  <c r="M21" i="13"/>
  <c r="K21" i="13"/>
  <c r="I21" i="13"/>
  <c r="J21" i="13" s="1"/>
  <c r="O21" i="13" s="1"/>
  <c r="Q19" i="14"/>
  <c r="R19" i="3"/>
  <c r="Q19" i="12"/>
  <c r="N20" i="12"/>
  <c r="V38" i="5" s="1"/>
  <c r="L20" i="12"/>
  <c r="P20" i="12" s="1"/>
  <c r="V10" i="5" s="1"/>
  <c r="N20" i="6"/>
  <c r="V37" i="5" s="1"/>
  <c r="L20" i="6"/>
  <c r="P20" i="6" s="1"/>
  <c r="V9" i="5" s="1"/>
  <c r="N20" i="8"/>
  <c r="V33" i="5" s="1"/>
  <c r="L20" i="8"/>
  <c r="P20" i="8" s="1"/>
  <c r="V5" i="5" s="1"/>
  <c r="M22" i="4"/>
  <c r="H22" i="11"/>
  <c r="H22" i="14"/>
  <c r="H22" i="8"/>
  <c r="H22" i="9"/>
  <c r="H22" i="15"/>
  <c r="H22" i="10"/>
  <c r="H22" i="13"/>
  <c r="H22" i="12"/>
  <c r="H22" i="3"/>
  <c r="H22" i="6"/>
  <c r="K21" i="4"/>
  <c r="L21" i="4" s="1"/>
  <c r="P21" i="4" s="1"/>
  <c r="W14" i="5" s="1"/>
  <c r="I22" i="4"/>
  <c r="J22" i="4" s="1"/>
  <c r="O22" i="4" s="1"/>
  <c r="H23" i="4"/>
  <c r="M21" i="3"/>
  <c r="K21" i="3"/>
  <c r="I21" i="3"/>
  <c r="M21" i="15"/>
  <c r="K21" i="15"/>
  <c r="I21" i="15"/>
  <c r="J21" i="15" s="1"/>
  <c r="O21" i="15" s="1"/>
  <c r="M21" i="8"/>
  <c r="K21" i="8"/>
  <c r="I21" i="8"/>
  <c r="J21" i="8" s="1"/>
  <c r="O21" i="8" s="1"/>
  <c r="N20" i="11"/>
  <c r="V36" i="5" s="1"/>
  <c r="L20" i="11"/>
  <c r="P20" i="11" s="1"/>
  <c r="V8" i="5" s="1"/>
  <c r="N20" i="9"/>
  <c r="V34" i="5" s="1"/>
  <c r="L20" i="9"/>
  <c r="P20" i="9" s="1"/>
  <c r="V6" i="5" s="1"/>
  <c r="R19" i="6"/>
  <c r="R19" i="14"/>
  <c r="R19" i="13"/>
  <c r="O24" i="1"/>
  <c r="L24" i="1"/>
  <c r="N21" i="4"/>
  <c r="W42" i="5" s="1"/>
  <c r="M21" i="6"/>
  <c r="K21" i="6"/>
  <c r="I21" i="6"/>
  <c r="J21" i="6" s="1"/>
  <c r="O21" i="6" s="1"/>
  <c r="M21" i="12"/>
  <c r="K21" i="12"/>
  <c r="I21" i="12"/>
  <c r="J21" i="12" s="1"/>
  <c r="O21" i="12" s="1"/>
  <c r="N20" i="15"/>
  <c r="V41" i="5" s="1"/>
  <c r="L20" i="15"/>
  <c r="P20" i="15" s="1"/>
  <c r="V13" i="5" s="1"/>
  <c r="N20" i="13"/>
  <c r="V39" i="5" s="1"/>
  <c r="L20" i="13"/>
  <c r="P20" i="13" s="1"/>
  <c r="V11" i="5" s="1"/>
  <c r="L20" i="14"/>
  <c r="P20" i="14" s="1"/>
  <c r="V12" i="5" s="1"/>
  <c r="N20" i="14"/>
  <c r="V40" i="5" s="1"/>
  <c r="Q19" i="8"/>
  <c r="Q19" i="6"/>
  <c r="Q19" i="9"/>
  <c r="Q19" i="15"/>
  <c r="Q19" i="13"/>
  <c r="R20" i="4"/>
  <c r="J24" i="1"/>
  <c r="P24" i="1" s="1"/>
  <c r="Q20" i="4"/>
  <c r="J20" i="3"/>
  <c r="O20" i="3" s="1"/>
  <c r="J20" i="12"/>
  <c r="O20" i="12" s="1"/>
  <c r="M21" i="9"/>
  <c r="K21" i="9"/>
  <c r="I21" i="9"/>
  <c r="J21" i="9" s="1"/>
  <c r="O21" i="9" s="1"/>
  <c r="M21" i="10"/>
  <c r="K21" i="10"/>
  <c r="I21" i="10"/>
  <c r="J21" i="4"/>
  <c r="O21" i="4" s="1"/>
  <c r="R19" i="8"/>
  <c r="J20" i="11"/>
  <c r="O20" i="11" s="1"/>
  <c r="R19" i="9"/>
  <c r="R19" i="15"/>
  <c r="Q19" i="3"/>
  <c r="R19" i="12"/>
  <c r="Q23" i="1" l="1"/>
  <c r="R23" i="1"/>
  <c r="N24" i="1"/>
  <c r="Q20" i="9"/>
  <c r="R20" i="9"/>
  <c r="Q20" i="10"/>
  <c r="R20" i="10"/>
  <c r="R20" i="6"/>
  <c r="Q20" i="6"/>
  <c r="R20" i="3"/>
  <c r="Q20" i="3"/>
  <c r="Q21" i="4"/>
  <c r="Q20" i="8"/>
  <c r="R20" i="8"/>
  <c r="L21" i="10"/>
  <c r="P21" i="10" s="1"/>
  <c r="W7" i="5" s="1"/>
  <c r="N21" i="10"/>
  <c r="W35" i="5" s="1"/>
  <c r="J21" i="10"/>
  <c r="O21" i="10" s="1"/>
  <c r="N21" i="12"/>
  <c r="W38" i="5" s="1"/>
  <c r="L21" i="12"/>
  <c r="P21" i="12" s="1"/>
  <c r="W10" i="5" s="1"/>
  <c r="L21" i="6"/>
  <c r="P21" i="6" s="1"/>
  <c r="W9" i="5" s="1"/>
  <c r="N21" i="6"/>
  <c r="W37" i="5" s="1"/>
  <c r="Q20" i="15"/>
  <c r="M22" i="6"/>
  <c r="K22" i="6"/>
  <c r="I22" i="6"/>
  <c r="J22" i="6" s="1"/>
  <c r="O22" i="6" s="1"/>
  <c r="M22" i="13"/>
  <c r="K22" i="13"/>
  <c r="I22" i="13"/>
  <c r="J22" i="13" s="1"/>
  <c r="O22" i="13" s="1"/>
  <c r="M22" i="8"/>
  <c r="K22" i="8"/>
  <c r="I22" i="8"/>
  <c r="J22" i="8" s="1"/>
  <c r="O22" i="8" s="1"/>
  <c r="Q20" i="14"/>
  <c r="Q20" i="12"/>
  <c r="O25" i="1"/>
  <c r="L25" i="1"/>
  <c r="N21" i="8"/>
  <c r="W33" i="5" s="1"/>
  <c r="L21" i="8"/>
  <c r="P21" i="8" s="1"/>
  <c r="W5" i="5" s="1"/>
  <c r="N21" i="15"/>
  <c r="W41" i="5" s="1"/>
  <c r="L21" i="15"/>
  <c r="P21" i="15" s="1"/>
  <c r="W13" i="5" s="1"/>
  <c r="N21" i="3"/>
  <c r="W32" i="5" s="1"/>
  <c r="L21" i="3"/>
  <c r="P21" i="3" s="1"/>
  <c r="W4" i="5" s="1"/>
  <c r="M23" i="4"/>
  <c r="H23" i="13"/>
  <c r="H23" i="10"/>
  <c r="H23" i="6"/>
  <c r="H23" i="3"/>
  <c r="H23" i="11"/>
  <c r="H23" i="15"/>
  <c r="H23" i="8"/>
  <c r="H23" i="9"/>
  <c r="H23" i="12"/>
  <c r="H23" i="14"/>
  <c r="K22" i="4"/>
  <c r="L22" i="4" s="1"/>
  <c r="P22" i="4" s="1"/>
  <c r="I23" i="4"/>
  <c r="J23" i="4" s="1"/>
  <c r="O23" i="4" s="1"/>
  <c r="H24" i="4"/>
  <c r="M22" i="10"/>
  <c r="K22" i="10"/>
  <c r="I22" i="10"/>
  <c r="J22" i="10" s="1"/>
  <c r="O22" i="10" s="1"/>
  <c r="M22" i="14"/>
  <c r="K22" i="14"/>
  <c r="I22" i="14"/>
  <c r="Q20" i="11"/>
  <c r="R20" i="13"/>
  <c r="N22" i="4"/>
  <c r="X42" i="5" s="1"/>
  <c r="M22" i="3"/>
  <c r="K22" i="3"/>
  <c r="I22" i="3"/>
  <c r="J22" i="3" s="1"/>
  <c r="O22" i="3" s="1"/>
  <c r="M22" i="15"/>
  <c r="K22" i="15"/>
  <c r="I22" i="15"/>
  <c r="J22" i="15" s="1"/>
  <c r="O22" i="15" s="1"/>
  <c r="M22" i="11"/>
  <c r="K22" i="11"/>
  <c r="I22" i="11"/>
  <c r="J22" i="11" s="1"/>
  <c r="O22" i="11" s="1"/>
  <c r="R20" i="11"/>
  <c r="Q20" i="13"/>
  <c r="N21" i="9"/>
  <c r="W34" i="5" s="1"/>
  <c r="L21" i="9"/>
  <c r="P21" i="9" s="1"/>
  <c r="W6" i="5" s="1"/>
  <c r="R21" i="4"/>
  <c r="R20" i="15"/>
  <c r="J21" i="3"/>
  <c r="O21" i="3" s="1"/>
  <c r="M22" i="12"/>
  <c r="K22" i="12"/>
  <c r="I22" i="12"/>
  <c r="J22" i="12" s="1"/>
  <c r="O22" i="12" s="1"/>
  <c r="M22" i="9"/>
  <c r="K22" i="9"/>
  <c r="I22" i="9"/>
  <c r="R20" i="14"/>
  <c r="N21" i="13"/>
  <c r="W39" i="5" s="1"/>
  <c r="L21" i="13"/>
  <c r="P21" i="13" s="1"/>
  <c r="W11" i="5" s="1"/>
  <c r="L21" i="14"/>
  <c r="P21" i="14" s="1"/>
  <c r="W12" i="5" s="1"/>
  <c r="N21" i="14"/>
  <c r="W40" i="5" s="1"/>
  <c r="N21" i="11"/>
  <c r="W36" i="5" s="1"/>
  <c r="L21" i="11"/>
  <c r="P21" i="11" s="1"/>
  <c r="W8" i="5" s="1"/>
  <c r="R20" i="12"/>
  <c r="M26" i="1"/>
  <c r="K26" i="1"/>
  <c r="I26" i="1"/>
  <c r="J26" i="1" s="1"/>
  <c r="P26" i="1" s="1"/>
  <c r="H27" i="1"/>
  <c r="J25" i="1"/>
  <c r="P25" i="1" s="1"/>
  <c r="Q24" i="1" l="1"/>
  <c r="R24" i="1"/>
  <c r="N25" i="1"/>
  <c r="Q21" i="12"/>
  <c r="Q21" i="8"/>
  <c r="R21" i="8"/>
  <c r="R21" i="12"/>
  <c r="Q21" i="15"/>
  <c r="Q21" i="10"/>
  <c r="R21" i="10"/>
  <c r="Q21" i="6"/>
  <c r="R21" i="6"/>
  <c r="R21" i="15"/>
  <c r="X14" i="5"/>
  <c r="Q22" i="4"/>
  <c r="R22" i="4"/>
  <c r="Q21" i="11"/>
  <c r="L22" i="11"/>
  <c r="P22" i="11" s="1"/>
  <c r="X8" i="5" s="1"/>
  <c r="N22" i="11"/>
  <c r="X36" i="5" s="1"/>
  <c r="N22" i="15"/>
  <c r="X41" i="5" s="1"/>
  <c r="L22" i="15"/>
  <c r="P22" i="15" s="1"/>
  <c r="X13" i="5" s="1"/>
  <c r="L22" i="3"/>
  <c r="P22" i="3" s="1"/>
  <c r="X4" i="5" s="1"/>
  <c r="N22" i="3"/>
  <c r="X32" i="5" s="1"/>
  <c r="Q21" i="14"/>
  <c r="M23" i="14"/>
  <c r="K23" i="14"/>
  <c r="I23" i="14"/>
  <c r="J23" i="14" s="1"/>
  <c r="O23" i="14" s="1"/>
  <c r="M23" i="6"/>
  <c r="K23" i="6"/>
  <c r="I23" i="6"/>
  <c r="J23" i="6" s="1"/>
  <c r="O23" i="6" s="1"/>
  <c r="N22" i="12"/>
  <c r="X38" i="5" s="1"/>
  <c r="L22" i="12"/>
  <c r="P22" i="12" s="1"/>
  <c r="X10" i="5" s="1"/>
  <c r="R21" i="11"/>
  <c r="Q21" i="13"/>
  <c r="N22" i="14"/>
  <c r="X40" i="5" s="1"/>
  <c r="L22" i="14"/>
  <c r="P22" i="14" s="1"/>
  <c r="X12" i="5" s="1"/>
  <c r="L22" i="10"/>
  <c r="P22" i="10" s="1"/>
  <c r="X7" i="5" s="1"/>
  <c r="N22" i="10"/>
  <c r="X35" i="5" s="1"/>
  <c r="H24" i="10"/>
  <c r="M24" i="4"/>
  <c r="H24" i="11"/>
  <c r="H24" i="15"/>
  <c r="H24" i="3"/>
  <c r="H24" i="14"/>
  <c r="H24" i="9"/>
  <c r="H24" i="6"/>
  <c r="H24" i="12"/>
  <c r="H24" i="13"/>
  <c r="H24" i="8"/>
  <c r="K23" i="4"/>
  <c r="L23" i="4" s="1"/>
  <c r="P23" i="4" s="1"/>
  <c r="Y14" i="5" s="1"/>
  <c r="I24" i="4"/>
  <c r="H25" i="4"/>
  <c r="M23" i="12"/>
  <c r="K23" i="12"/>
  <c r="I23" i="12"/>
  <c r="M23" i="15"/>
  <c r="K23" i="15"/>
  <c r="I23" i="15"/>
  <c r="M23" i="10"/>
  <c r="K23" i="10"/>
  <c r="I23" i="10"/>
  <c r="L22" i="9"/>
  <c r="P22" i="9" s="1"/>
  <c r="X6" i="5" s="1"/>
  <c r="N22" i="9"/>
  <c r="X34" i="5" s="1"/>
  <c r="M27" i="1"/>
  <c r="K27" i="1"/>
  <c r="I27" i="1"/>
  <c r="H28" i="1"/>
  <c r="R21" i="13"/>
  <c r="N23" i="4"/>
  <c r="Y42" i="5" s="1"/>
  <c r="M23" i="9"/>
  <c r="K23" i="9"/>
  <c r="I23" i="9"/>
  <c r="M23" i="11"/>
  <c r="K23" i="11"/>
  <c r="I23" i="11"/>
  <c r="M23" i="13"/>
  <c r="K23" i="13"/>
  <c r="I23" i="13"/>
  <c r="Q21" i="9"/>
  <c r="L22" i="8"/>
  <c r="P22" i="8" s="1"/>
  <c r="X5" i="5" s="1"/>
  <c r="N22" i="8"/>
  <c r="X33" i="5" s="1"/>
  <c r="N22" i="13"/>
  <c r="X39" i="5" s="1"/>
  <c r="L22" i="13"/>
  <c r="P22" i="13" s="1"/>
  <c r="X11" i="5" s="1"/>
  <c r="L22" i="6"/>
  <c r="P22" i="6" s="1"/>
  <c r="X9" i="5" s="1"/>
  <c r="N22" i="6"/>
  <c r="X37" i="5" s="1"/>
  <c r="Q21" i="3"/>
  <c r="O26" i="1"/>
  <c r="L26" i="1"/>
  <c r="J22" i="9"/>
  <c r="O22" i="9" s="1"/>
  <c r="R21" i="14"/>
  <c r="J22" i="14"/>
  <c r="O22" i="14" s="1"/>
  <c r="M23" i="8"/>
  <c r="K23" i="8"/>
  <c r="I23" i="8"/>
  <c r="J23" i="8" s="1"/>
  <c r="O23" i="8" s="1"/>
  <c r="M23" i="3"/>
  <c r="K23" i="3"/>
  <c r="I23" i="3"/>
  <c r="J23" i="3" s="1"/>
  <c r="O23" i="3" s="1"/>
  <c r="R21" i="9"/>
  <c r="R21" i="3"/>
  <c r="Q25" i="1" l="1"/>
  <c r="R25" i="1"/>
  <c r="N26" i="1"/>
  <c r="Q22" i="10"/>
  <c r="R22" i="15"/>
  <c r="Q22" i="15"/>
  <c r="R22" i="10"/>
  <c r="Q22" i="3"/>
  <c r="R22" i="11"/>
  <c r="R22" i="3"/>
  <c r="Q22" i="11"/>
  <c r="Q23" i="4"/>
  <c r="Q22" i="13"/>
  <c r="N23" i="9"/>
  <c r="Y34" i="5" s="1"/>
  <c r="L23" i="9"/>
  <c r="P23" i="9" s="1"/>
  <c r="Y6" i="5" s="1"/>
  <c r="L27" i="1"/>
  <c r="O27" i="1"/>
  <c r="L23" i="10"/>
  <c r="P23" i="10" s="1"/>
  <c r="Y7" i="5" s="1"/>
  <c r="N23" i="10"/>
  <c r="Y35" i="5" s="1"/>
  <c r="N23" i="15"/>
  <c r="Y41" i="5" s="1"/>
  <c r="L23" i="15"/>
  <c r="P23" i="15" s="1"/>
  <c r="Y13" i="5" s="1"/>
  <c r="N23" i="12"/>
  <c r="Y38" i="5" s="1"/>
  <c r="L23" i="12"/>
  <c r="P23" i="12" s="1"/>
  <c r="Y10" i="5" s="1"/>
  <c r="M25" i="4"/>
  <c r="H25" i="10"/>
  <c r="H25" i="6"/>
  <c r="H25" i="15"/>
  <c r="H25" i="12"/>
  <c r="H25" i="3"/>
  <c r="H25" i="9"/>
  <c r="H25" i="11"/>
  <c r="H25" i="13"/>
  <c r="H25" i="14"/>
  <c r="H25" i="8"/>
  <c r="K24" i="4"/>
  <c r="L24" i="4" s="1"/>
  <c r="P24" i="4" s="1"/>
  <c r="Z14" i="5" s="1"/>
  <c r="I25" i="4"/>
  <c r="H26" i="4"/>
  <c r="M24" i="13"/>
  <c r="K24" i="13"/>
  <c r="I24" i="13"/>
  <c r="J24" i="13" s="1"/>
  <c r="O24" i="13" s="1"/>
  <c r="M24" i="9"/>
  <c r="K24" i="9"/>
  <c r="I24" i="9"/>
  <c r="J24" i="9" s="1"/>
  <c r="O24" i="9" s="1"/>
  <c r="M24" i="11"/>
  <c r="K24" i="11"/>
  <c r="I24" i="11"/>
  <c r="J24" i="11" s="1"/>
  <c r="O24" i="11" s="1"/>
  <c r="R22" i="14"/>
  <c r="Q22" i="9"/>
  <c r="N23" i="11"/>
  <c r="Y36" i="5" s="1"/>
  <c r="L23" i="11"/>
  <c r="P23" i="11" s="1"/>
  <c r="Y8" i="5" s="1"/>
  <c r="N23" i="3"/>
  <c r="Y32" i="5" s="1"/>
  <c r="L23" i="3"/>
  <c r="P23" i="3" s="1"/>
  <c r="Y4" i="5" s="1"/>
  <c r="R22" i="13"/>
  <c r="N24" i="4"/>
  <c r="Z42" i="5" s="1"/>
  <c r="M24" i="12"/>
  <c r="K24" i="12"/>
  <c r="I24" i="12"/>
  <c r="J24" i="12" s="1"/>
  <c r="O24" i="12" s="1"/>
  <c r="M24" i="14"/>
  <c r="K24" i="14"/>
  <c r="I24" i="14"/>
  <c r="J24" i="14" s="1"/>
  <c r="O24" i="14" s="1"/>
  <c r="Q22" i="12"/>
  <c r="L23" i="13"/>
  <c r="P23" i="13" s="1"/>
  <c r="Y11" i="5" s="1"/>
  <c r="N23" i="13"/>
  <c r="Y39" i="5" s="1"/>
  <c r="N23" i="8"/>
  <c r="Y33" i="5" s="1"/>
  <c r="L23" i="8"/>
  <c r="P23" i="8" s="1"/>
  <c r="Y5" i="5" s="1"/>
  <c r="J27" i="1"/>
  <c r="P27" i="1" s="1"/>
  <c r="Q22" i="6"/>
  <c r="Q22" i="8"/>
  <c r="J23" i="15"/>
  <c r="O23" i="15" s="1"/>
  <c r="J23" i="12"/>
  <c r="O23" i="12" s="1"/>
  <c r="J24" i="4"/>
  <c r="O24" i="4" s="1"/>
  <c r="M24" i="3"/>
  <c r="K24" i="3"/>
  <c r="I24" i="3"/>
  <c r="J24" i="3" s="1"/>
  <c r="O24" i="3" s="1"/>
  <c r="M24" i="10"/>
  <c r="K24" i="10"/>
  <c r="I24" i="10"/>
  <c r="J24" i="10" s="1"/>
  <c r="O24" i="10" s="1"/>
  <c r="R22" i="12"/>
  <c r="R23" i="4"/>
  <c r="J23" i="13"/>
  <c r="O23" i="13" s="1"/>
  <c r="J23" i="11"/>
  <c r="O23" i="11" s="1"/>
  <c r="J23" i="9"/>
  <c r="O23" i="9" s="1"/>
  <c r="M28" i="1"/>
  <c r="K28" i="1"/>
  <c r="I28" i="1"/>
  <c r="H29" i="1"/>
  <c r="R22" i="6"/>
  <c r="R22" i="8"/>
  <c r="J23" i="10"/>
  <c r="O23" i="10" s="1"/>
  <c r="M24" i="8"/>
  <c r="K24" i="8"/>
  <c r="I24" i="8"/>
  <c r="M24" i="6"/>
  <c r="K24" i="6"/>
  <c r="I24" i="6"/>
  <c r="J24" i="6" s="1"/>
  <c r="O24" i="6" s="1"/>
  <c r="M24" i="15"/>
  <c r="K24" i="15"/>
  <c r="I24" i="15"/>
  <c r="J24" i="15" s="1"/>
  <c r="O24" i="15" s="1"/>
  <c r="L23" i="6"/>
  <c r="P23" i="6" s="1"/>
  <c r="Y9" i="5" s="1"/>
  <c r="N23" i="6"/>
  <c r="Y37" i="5" s="1"/>
  <c r="N23" i="14"/>
  <c r="Y40" i="5" s="1"/>
  <c r="L23" i="14"/>
  <c r="P23" i="14" s="1"/>
  <c r="Y12" i="5" s="1"/>
  <c r="Q22" i="14"/>
  <c r="R22" i="9"/>
  <c r="Q26" i="1" l="1"/>
  <c r="R26" i="1"/>
  <c r="N27" i="1"/>
  <c r="R23" i="13"/>
  <c r="Q23" i="12"/>
  <c r="R23" i="15"/>
  <c r="Q23" i="9"/>
  <c r="Q23" i="11"/>
  <c r="Q23" i="10"/>
  <c r="Q23" i="15"/>
  <c r="R23" i="12"/>
  <c r="R23" i="9"/>
  <c r="R23" i="3"/>
  <c r="Q23" i="8"/>
  <c r="R24" i="4"/>
  <c r="R23" i="11"/>
  <c r="Q24" i="4"/>
  <c r="Q23" i="3"/>
  <c r="R23" i="10"/>
  <c r="Q23" i="13"/>
  <c r="L24" i="8"/>
  <c r="P24" i="8" s="1"/>
  <c r="Z5" i="5" s="1"/>
  <c r="N24" i="8"/>
  <c r="Z33" i="5" s="1"/>
  <c r="R23" i="6"/>
  <c r="J24" i="8"/>
  <c r="O24" i="8" s="1"/>
  <c r="L28" i="1"/>
  <c r="O28" i="1"/>
  <c r="R23" i="8"/>
  <c r="N25" i="4"/>
  <c r="AA42" i="5" s="1"/>
  <c r="M25" i="13"/>
  <c r="K25" i="13"/>
  <c r="I25" i="13"/>
  <c r="J25" i="4"/>
  <c r="O25" i="4" s="1"/>
  <c r="M25" i="10"/>
  <c r="K25" i="10"/>
  <c r="I25" i="10"/>
  <c r="R23" i="14"/>
  <c r="M25" i="11"/>
  <c r="K25" i="11"/>
  <c r="I25" i="11"/>
  <c r="J25" i="11" s="1"/>
  <c r="O25" i="11" s="1"/>
  <c r="M25" i="12"/>
  <c r="K25" i="12"/>
  <c r="I25" i="12"/>
  <c r="J25" i="12" s="1"/>
  <c r="O25" i="12" s="1"/>
  <c r="N24" i="15"/>
  <c r="Z41" i="5" s="1"/>
  <c r="L24" i="15"/>
  <c r="P24" i="15" s="1"/>
  <c r="Z13" i="5" s="1"/>
  <c r="Q23" i="14"/>
  <c r="N24" i="14"/>
  <c r="Z40" i="5" s="1"/>
  <c r="L24" i="14"/>
  <c r="P24" i="14" s="1"/>
  <c r="Z12" i="5" s="1"/>
  <c r="N24" i="12"/>
  <c r="Z38" i="5" s="1"/>
  <c r="L24" i="12"/>
  <c r="P24" i="12" s="1"/>
  <c r="Z10" i="5" s="1"/>
  <c r="M25" i="8"/>
  <c r="K25" i="8"/>
  <c r="I25" i="8"/>
  <c r="J25" i="8" s="1"/>
  <c r="O25" i="8" s="1"/>
  <c r="M25" i="9"/>
  <c r="K25" i="9"/>
  <c r="I25" i="9"/>
  <c r="J25" i="9" s="1"/>
  <c r="O25" i="9" s="1"/>
  <c r="M25" i="15"/>
  <c r="K25" i="15"/>
  <c r="I25" i="15"/>
  <c r="J25" i="15" s="1"/>
  <c r="O25" i="15" s="1"/>
  <c r="N24" i="6"/>
  <c r="Z37" i="5" s="1"/>
  <c r="L24" i="6"/>
  <c r="P24" i="6" s="1"/>
  <c r="Z9" i="5" s="1"/>
  <c r="M29" i="1"/>
  <c r="K29" i="1"/>
  <c r="I29" i="1"/>
  <c r="H30" i="1"/>
  <c r="J28" i="1"/>
  <c r="P28" i="1" s="1"/>
  <c r="N24" i="10"/>
  <c r="Z35" i="5" s="1"/>
  <c r="L24" i="10"/>
  <c r="P24" i="10" s="1"/>
  <c r="Z7" i="5" s="1"/>
  <c r="N24" i="3"/>
  <c r="Z32" i="5" s="1"/>
  <c r="L24" i="3"/>
  <c r="P24" i="3" s="1"/>
  <c r="Z4" i="5" s="1"/>
  <c r="Q23" i="6"/>
  <c r="N24" i="11"/>
  <c r="Z36" i="5" s="1"/>
  <c r="L24" i="11"/>
  <c r="P24" i="11" s="1"/>
  <c r="Z8" i="5" s="1"/>
  <c r="N24" i="9"/>
  <c r="Z34" i="5" s="1"/>
  <c r="L24" i="9"/>
  <c r="P24" i="9" s="1"/>
  <c r="Z6" i="5" s="1"/>
  <c r="N24" i="13"/>
  <c r="Z39" i="5" s="1"/>
  <c r="L24" i="13"/>
  <c r="P24" i="13" s="1"/>
  <c r="Z11" i="5" s="1"/>
  <c r="H26" i="15"/>
  <c r="H26" i="11"/>
  <c r="M26" i="4"/>
  <c r="H26" i="8"/>
  <c r="H26" i="14"/>
  <c r="H26" i="10"/>
  <c r="H26" i="12"/>
  <c r="H26" i="9"/>
  <c r="H26" i="3"/>
  <c r="H26" i="6"/>
  <c r="H26" i="13"/>
  <c r="K25" i="4"/>
  <c r="L25" i="4" s="1"/>
  <c r="P25" i="4" s="1"/>
  <c r="I26" i="4"/>
  <c r="H27" i="4"/>
  <c r="M25" i="14"/>
  <c r="K25" i="14"/>
  <c r="I25" i="14"/>
  <c r="M25" i="3"/>
  <c r="K25" i="3"/>
  <c r="I25" i="3"/>
  <c r="M25" i="6"/>
  <c r="K25" i="6"/>
  <c r="I25" i="6"/>
  <c r="Q27" i="1" l="1"/>
  <c r="R27" i="1"/>
  <c r="N28" i="1"/>
  <c r="R24" i="8"/>
  <c r="Q24" i="8"/>
  <c r="AA14" i="5"/>
  <c r="Q25" i="4"/>
  <c r="R25" i="4"/>
  <c r="N25" i="6"/>
  <c r="AA37" i="5" s="1"/>
  <c r="L25" i="6"/>
  <c r="P25" i="6" s="1"/>
  <c r="AA9" i="5" s="1"/>
  <c r="M26" i="6"/>
  <c r="K26" i="6"/>
  <c r="I26" i="6"/>
  <c r="J26" i="6" s="1"/>
  <c r="O26" i="6" s="1"/>
  <c r="O29" i="1"/>
  <c r="L29" i="1"/>
  <c r="R24" i="11"/>
  <c r="R24" i="9"/>
  <c r="R24" i="10"/>
  <c r="R24" i="6"/>
  <c r="N25" i="10"/>
  <c r="AA35" i="5" s="1"/>
  <c r="L25" i="10"/>
  <c r="P25" i="10" s="1"/>
  <c r="AA7" i="5" s="1"/>
  <c r="Q24" i="12"/>
  <c r="N25" i="3"/>
  <c r="AA32" i="5" s="1"/>
  <c r="L25" i="3"/>
  <c r="P25" i="3" s="1"/>
  <c r="AA4" i="5" s="1"/>
  <c r="N26" i="4"/>
  <c r="AB42" i="5" s="1"/>
  <c r="M26" i="3"/>
  <c r="K26" i="3"/>
  <c r="I26" i="3"/>
  <c r="J26" i="3" s="1"/>
  <c r="O26" i="3" s="1"/>
  <c r="M26" i="10"/>
  <c r="K26" i="10"/>
  <c r="I26" i="10"/>
  <c r="M26" i="11"/>
  <c r="K26" i="11"/>
  <c r="I26" i="11"/>
  <c r="Q24" i="11"/>
  <c r="Q24" i="3"/>
  <c r="Q24" i="6"/>
  <c r="N25" i="13"/>
  <c r="AA39" i="5" s="1"/>
  <c r="L25" i="13"/>
  <c r="P25" i="13" s="1"/>
  <c r="AA11" i="5" s="1"/>
  <c r="R24" i="14"/>
  <c r="N25" i="14"/>
  <c r="AA40" i="5" s="1"/>
  <c r="L25" i="14"/>
  <c r="P25" i="14" s="1"/>
  <c r="AA12" i="5" s="1"/>
  <c r="M26" i="12"/>
  <c r="K26" i="12"/>
  <c r="I26" i="12"/>
  <c r="J26" i="12" s="1"/>
  <c r="O26" i="12" s="1"/>
  <c r="M26" i="9"/>
  <c r="K26" i="9"/>
  <c r="I26" i="9"/>
  <c r="J26" i="9" s="1"/>
  <c r="O26" i="9" s="1"/>
  <c r="M26" i="14"/>
  <c r="K26" i="14"/>
  <c r="I26" i="14"/>
  <c r="J26" i="14" s="1"/>
  <c r="O26" i="14" s="1"/>
  <c r="M26" i="15"/>
  <c r="K26" i="15"/>
  <c r="I26" i="15"/>
  <c r="J26" i="15" s="1"/>
  <c r="O26" i="15" s="1"/>
  <c r="J29" i="1"/>
  <c r="P29" i="1" s="1"/>
  <c r="L25" i="15"/>
  <c r="P25" i="15" s="1"/>
  <c r="AA13" i="5" s="1"/>
  <c r="N25" i="15"/>
  <c r="AA41" i="5" s="1"/>
  <c r="L25" i="9"/>
  <c r="P25" i="9" s="1"/>
  <c r="AA6" i="5" s="1"/>
  <c r="N25" i="9"/>
  <c r="AA34" i="5" s="1"/>
  <c r="N25" i="8"/>
  <c r="AA33" i="5" s="1"/>
  <c r="L25" i="8"/>
  <c r="P25" i="8" s="1"/>
  <c r="AA5" i="5" s="1"/>
  <c r="Q24" i="13"/>
  <c r="R24" i="3"/>
  <c r="R24" i="15"/>
  <c r="Q24" i="14"/>
  <c r="H27" i="3"/>
  <c r="H27" i="6"/>
  <c r="H27" i="15"/>
  <c r="M27" i="4"/>
  <c r="H27" i="8"/>
  <c r="H27" i="13"/>
  <c r="H27" i="12"/>
  <c r="H27" i="11"/>
  <c r="H27" i="9"/>
  <c r="H27" i="10"/>
  <c r="H27" i="14"/>
  <c r="K26" i="4"/>
  <c r="L26" i="4" s="1"/>
  <c r="P26" i="4" s="1"/>
  <c r="I27" i="4"/>
  <c r="H28" i="4"/>
  <c r="J25" i="6"/>
  <c r="O25" i="6" s="1"/>
  <c r="J25" i="3"/>
  <c r="O25" i="3" s="1"/>
  <c r="J25" i="14"/>
  <c r="O25" i="14" s="1"/>
  <c r="M26" i="13"/>
  <c r="K26" i="13"/>
  <c r="I26" i="13"/>
  <c r="J26" i="13" s="1"/>
  <c r="O26" i="13" s="1"/>
  <c r="J26" i="4"/>
  <c r="O26" i="4" s="1"/>
  <c r="M26" i="8"/>
  <c r="K26" i="8"/>
  <c r="I26" i="8"/>
  <c r="J26" i="8" s="1"/>
  <c r="O26" i="8" s="1"/>
  <c r="M30" i="1"/>
  <c r="K30" i="1"/>
  <c r="I30" i="1"/>
  <c r="J30" i="1" s="1"/>
  <c r="P30" i="1" s="1"/>
  <c r="H31" i="1"/>
  <c r="R24" i="13"/>
  <c r="L25" i="12"/>
  <c r="P25" i="12" s="1"/>
  <c r="AA10" i="5" s="1"/>
  <c r="N25" i="12"/>
  <c r="AA38" i="5" s="1"/>
  <c r="L25" i="11"/>
  <c r="P25" i="11" s="1"/>
  <c r="AA8" i="5" s="1"/>
  <c r="N25" i="11"/>
  <c r="AA36" i="5" s="1"/>
  <c r="Q24" i="9"/>
  <c r="Q24" i="10"/>
  <c r="Q24" i="15"/>
  <c r="J25" i="10"/>
  <c r="O25" i="10" s="1"/>
  <c r="J25" i="13"/>
  <c r="O25" i="13" s="1"/>
  <c r="R24" i="12"/>
  <c r="Q28" i="1" l="1"/>
  <c r="R28" i="1"/>
  <c r="N29" i="1"/>
  <c r="Q25" i="6"/>
  <c r="R25" i="6"/>
  <c r="R25" i="10"/>
  <c r="Q25" i="10"/>
  <c r="Q25" i="3"/>
  <c r="R25" i="3"/>
  <c r="Q25" i="14"/>
  <c r="R25" i="14"/>
  <c r="AB14" i="5"/>
  <c r="Q26" i="4"/>
  <c r="R26" i="4"/>
  <c r="M31" i="1"/>
  <c r="K31" i="1"/>
  <c r="I31" i="1"/>
  <c r="H32" i="1"/>
  <c r="N27" i="4"/>
  <c r="AC42" i="5" s="1"/>
  <c r="M27" i="9"/>
  <c r="K27" i="9"/>
  <c r="I27" i="9"/>
  <c r="J27" i="9" s="1"/>
  <c r="O27" i="9" s="1"/>
  <c r="M27" i="8"/>
  <c r="K27" i="8"/>
  <c r="I27" i="8"/>
  <c r="J27" i="8" s="1"/>
  <c r="O27" i="8" s="1"/>
  <c r="M27" i="3"/>
  <c r="K27" i="3"/>
  <c r="I27" i="3"/>
  <c r="J27" i="3" s="1"/>
  <c r="O27" i="3" s="1"/>
  <c r="Q25" i="11"/>
  <c r="R25" i="8"/>
  <c r="Q25" i="15"/>
  <c r="R25" i="13"/>
  <c r="O30" i="1"/>
  <c r="L30" i="1"/>
  <c r="N26" i="8"/>
  <c r="AB33" i="5" s="1"/>
  <c r="L26" i="8"/>
  <c r="P26" i="8" s="1"/>
  <c r="AB5" i="5" s="1"/>
  <c r="M27" i="11"/>
  <c r="K27" i="11"/>
  <c r="I27" i="11"/>
  <c r="J27" i="4"/>
  <c r="O27" i="4" s="1"/>
  <c r="Q25" i="12"/>
  <c r="R25" i="9"/>
  <c r="N26" i="11"/>
  <c r="AB36" i="5" s="1"/>
  <c r="L26" i="11"/>
  <c r="P26" i="11" s="1"/>
  <c r="AB8" i="5" s="1"/>
  <c r="N26" i="10"/>
  <c r="AB35" i="5" s="1"/>
  <c r="L26" i="10"/>
  <c r="P26" i="10" s="1"/>
  <c r="AB7" i="5" s="1"/>
  <c r="L26" i="3"/>
  <c r="P26" i="3" s="1"/>
  <c r="AB4" i="5" s="1"/>
  <c r="N26" i="3"/>
  <c r="AB32" i="5" s="1"/>
  <c r="N26" i="13"/>
  <c r="AB39" i="5" s="1"/>
  <c r="L26" i="13"/>
  <c r="P26" i="13" s="1"/>
  <c r="AB11" i="5" s="1"/>
  <c r="M27" i="14"/>
  <c r="K27" i="14"/>
  <c r="I27" i="14"/>
  <c r="M27" i="12"/>
  <c r="K27" i="12"/>
  <c r="I27" i="12"/>
  <c r="J27" i="12" s="1"/>
  <c r="O27" i="12" s="1"/>
  <c r="M27" i="15"/>
  <c r="K27" i="15"/>
  <c r="I27" i="15"/>
  <c r="J27" i="15" s="1"/>
  <c r="O27" i="15" s="1"/>
  <c r="R25" i="12"/>
  <c r="Q25" i="9"/>
  <c r="M28" i="4"/>
  <c r="H28" i="3"/>
  <c r="H28" i="15"/>
  <c r="H28" i="14"/>
  <c r="H28" i="8"/>
  <c r="H28" i="9"/>
  <c r="H28" i="13"/>
  <c r="H28" i="6"/>
  <c r="H28" i="12"/>
  <c r="H28" i="11"/>
  <c r="H28" i="10"/>
  <c r="K27" i="4"/>
  <c r="L27" i="4" s="1"/>
  <c r="P27" i="4" s="1"/>
  <c r="I28" i="4"/>
  <c r="H29" i="4"/>
  <c r="M27" i="10"/>
  <c r="K27" i="10"/>
  <c r="I27" i="10"/>
  <c r="M27" i="13"/>
  <c r="K27" i="13"/>
  <c r="I27" i="13"/>
  <c r="M27" i="6"/>
  <c r="K27" i="6"/>
  <c r="I27" i="6"/>
  <c r="J27" i="6" s="1"/>
  <c r="O27" i="6" s="1"/>
  <c r="R25" i="11"/>
  <c r="N26" i="15"/>
  <c r="AB41" i="5" s="1"/>
  <c r="L26" i="15"/>
  <c r="P26" i="15" s="1"/>
  <c r="AB13" i="5" s="1"/>
  <c r="L26" i="14"/>
  <c r="P26" i="14" s="1"/>
  <c r="AB12" i="5" s="1"/>
  <c r="N26" i="14"/>
  <c r="AB40" i="5" s="1"/>
  <c r="N26" i="9"/>
  <c r="AB34" i="5" s="1"/>
  <c r="L26" i="9"/>
  <c r="P26" i="9" s="1"/>
  <c r="AB6" i="5" s="1"/>
  <c r="N26" i="12"/>
  <c r="AB38" i="5" s="1"/>
  <c r="L26" i="12"/>
  <c r="P26" i="12" s="1"/>
  <c r="AB10" i="5" s="1"/>
  <c r="Q25" i="8"/>
  <c r="R25" i="15"/>
  <c r="J26" i="11"/>
  <c r="O26" i="11" s="1"/>
  <c r="J26" i="10"/>
  <c r="O26" i="10" s="1"/>
  <c r="Q25" i="13"/>
  <c r="N26" i="6"/>
  <c r="AB37" i="5" s="1"/>
  <c r="L26" i="6"/>
  <c r="P26" i="6" s="1"/>
  <c r="AB9" i="5" s="1"/>
  <c r="Q29" i="1" l="1"/>
  <c r="R29" i="1"/>
  <c r="N30" i="1"/>
  <c r="R26" i="8"/>
  <c r="Q26" i="8"/>
  <c r="R26" i="3"/>
  <c r="Q26" i="3"/>
  <c r="AC14" i="5"/>
  <c r="Q27" i="4"/>
  <c r="R27" i="4"/>
  <c r="L27" i="6"/>
  <c r="P27" i="6" s="1"/>
  <c r="AC9" i="5" s="1"/>
  <c r="N27" i="6"/>
  <c r="AC37" i="5" s="1"/>
  <c r="N27" i="13"/>
  <c r="AC39" i="5" s="1"/>
  <c r="L27" i="13"/>
  <c r="P27" i="13" s="1"/>
  <c r="AC11" i="5" s="1"/>
  <c r="N27" i="10"/>
  <c r="AC35" i="5" s="1"/>
  <c r="L27" i="10"/>
  <c r="P27" i="10" s="1"/>
  <c r="AC7" i="5" s="1"/>
  <c r="H29" i="14"/>
  <c r="H29" i="9"/>
  <c r="H29" i="8"/>
  <c r="H29" i="13"/>
  <c r="H29" i="15"/>
  <c r="H29" i="11"/>
  <c r="M29" i="4"/>
  <c r="H29" i="10"/>
  <c r="H29" i="12"/>
  <c r="H29" i="6"/>
  <c r="H29" i="3"/>
  <c r="K28" i="4"/>
  <c r="L28" i="4" s="1"/>
  <c r="P28" i="4" s="1"/>
  <c r="AD14" i="5" s="1"/>
  <c r="I29" i="4"/>
  <c r="J29" i="4" s="1"/>
  <c r="O29" i="4" s="1"/>
  <c r="H30" i="4"/>
  <c r="M28" i="11"/>
  <c r="K28" i="11"/>
  <c r="I28" i="11"/>
  <c r="M28" i="9"/>
  <c r="K28" i="9"/>
  <c r="I28" i="9"/>
  <c r="M28" i="3"/>
  <c r="K28" i="3"/>
  <c r="I28" i="3"/>
  <c r="Q26" i="9"/>
  <c r="Q26" i="6"/>
  <c r="R26" i="12"/>
  <c r="L27" i="11"/>
  <c r="P27" i="11" s="1"/>
  <c r="AC8" i="5" s="1"/>
  <c r="N27" i="11"/>
  <c r="AC36" i="5" s="1"/>
  <c r="R26" i="13"/>
  <c r="Q26" i="10"/>
  <c r="M32" i="1"/>
  <c r="K32" i="1"/>
  <c r="I32" i="1"/>
  <c r="H33" i="1"/>
  <c r="N28" i="4"/>
  <c r="AD42" i="5" s="1"/>
  <c r="M28" i="8"/>
  <c r="K28" i="8"/>
  <c r="I28" i="8"/>
  <c r="L27" i="12"/>
  <c r="P27" i="12" s="1"/>
  <c r="AC10" i="5" s="1"/>
  <c r="N27" i="12"/>
  <c r="AC38" i="5" s="1"/>
  <c r="N27" i="14"/>
  <c r="AC40" i="5" s="1"/>
  <c r="L27" i="14"/>
  <c r="P27" i="14" s="1"/>
  <c r="AC12" i="5" s="1"/>
  <c r="Q26" i="12"/>
  <c r="Q26" i="13"/>
  <c r="Q26" i="11"/>
  <c r="O31" i="1"/>
  <c r="L31" i="1"/>
  <c r="M28" i="12"/>
  <c r="K28" i="12"/>
  <c r="I28" i="12"/>
  <c r="J28" i="12" s="1"/>
  <c r="O28" i="12" s="1"/>
  <c r="R26" i="9"/>
  <c r="M28" i="6"/>
  <c r="K28" i="6"/>
  <c r="I28" i="6"/>
  <c r="M28" i="14"/>
  <c r="K28" i="14"/>
  <c r="I28" i="14"/>
  <c r="J28" i="4"/>
  <c r="O28" i="4" s="1"/>
  <c r="R26" i="15"/>
  <c r="R26" i="14"/>
  <c r="R26" i="11"/>
  <c r="N27" i="3"/>
  <c r="AC32" i="5" s="1"/>
  <c r="L27" i="3"/>
  <c r="P27" i="3" s="1"/>
  <c r="AC4" i="5" s="1"/>
  <c r="N27" i="8"/>
  <c r="AC33" i="5" s="1"/>
  <c r="L27" i="8"/>
  <c r="P27" i="8" s="1"/>
  <c r="AC5" i="5" s="1"/>
  <c r="L27" i="9"/>
  <c r="P27" i="9" s="1"/>
  <c r="AC6" i="5" s="1"/>
  <c r="N27" i="9"/>
  <c r="AC34" i="5" s="1"/>
  <c r="N27" i="15"/>
  <c r="AC41" i="5" s="1"/>
  <c r="L27" i="15"/>
  <c r="P27" i="15" s="1"/>
  <c r="AC13" i="5" s="1"/>
  <c r="J27" i="13"/>
  <c r="O27" i="13" s="1"/>
  <c r="J27" i="10"/>
  <c r="O27" i="10" s="1"/>
  <c r="M28" i="10"/>
  <c r="K28" i="10"/>
  <c r="I28" i="10"/>
  <c r="J28" i="10" s="1"/>
  <c r="O28" i="10" s="1"/>
  <c r="M28" i="13"/>
  <c r="K28" i="13"/>
  <c r="I28" i="13"/>
  <c r="J28" i="13" s="1"/>
  <c r="O28" i="13" s="1"/>
  <c r="M28" i="15"/>
  <c r="K28" i="15"/>
  <c r="I28" i="15"/>
  <c r="J28" i="15" s="1"/>
  <c r="O28" i="15" s="1"/>
  <c r="Q26" i="15"/>
  <c r="J27" i="14"/>
  <c r="O27" i="14" s="1"/>
  <c r="R26" i="6"/>
  <c r="Q26" i="14"/>
  <c r="J27" i="11"/>
  <c r="O27" i="11" s="1"/>
  <c r="R26" i="10"/>
  <c r="J31" i="1"/>
  <c r="P31" i="1" s="1"/>
  <c r="R30" i="1" l="1"/>
  <c r="Q30" i="1"/>
  <c r="N31" i="1"/>
  <c r="Q27" i="13"/>
  <c r="R27" i="10"/>
  <c r="Q27" i="10"/>
  <c r="R27" i="12"/>
  <c r="Q27" i="12"/>
  <c r="R27" i="13"/>
  <c r="R27" i="11"/>
  <c r="R27" i="15"/>
  <c r="Q27" i="11"/>
  <c r="Q27" i="6"/>
  <c r="R27" i="6"/>
  <c r="Q28" i="4"/>
  <c r="Q27" i="15"/>
  <c r="R28" i="4"/>
  <c r="N28" i="14"/>
  <c r="AD40" i="5" s="1"/>
  <c r="L28" i="14"/>
  <c r="P28" i="14" s="1"/>
  <c r="AD12" i="5" s="1"/>
  <c r="L28" i="6"/>
  <c r="P28" i="6" s="1"/>
  <c r="AD9" i="5" s="1"/>
  <c r="N28" i="6"/>
  <c r="AD37" i="5" s="1"/>
  <c r="N28" i="8"/>
  <c r="AD33" i="5" s="1"/>
  <c r="L28" i="8"/>
  <c r="P28" i="8" s="1"/>
  <c r="AD5" i="5" s="1"/>
  <c r="M33" i="1"/>
  <c r="K33" i="1"/>
  <c r="I33" i="1"/>
  <c r="H34" i="1"/>
  <c r="R27" i="8"/>
  <c r="N28" i="3"/>
  <c r="AD32" i="5" s="1"/>
  <c r="L28" i="3"/>
  <c r="P28" i="3" s="1"/>
  <c r="AD4" i="5" s="1"/>
  <c r="L28" i="9"/>
  <c r="P28" i="9" s="1"/>
  <c r="AD6" i="5" s="1"/>
  <c r="N28" i="9"/>
  <c r="AD34" i="5" s="1"/>
  <c r="N28" i="11"/>
  <c r="AD36" i="5" s="1"/>
  <c r="L28" i="11"/>
  <c r="P28" i="11" s="1"/>
  <c r="AD8" i="5" s="1"/>
  <c r="M30" i="4"/>
  <c r="H30" i="12"/>
  <c r="H30" i="9"/>
  <c r="H30" i="10"/>
  <c r="H30" i="13"/>
  <c r="H30" i="8"/>
  <c r="H30" i="15"/>
  <c r="H30" i="3"/>
  <c r="H30" i="11"/>
  <c r="H30" i="6"/>
  <c r="H30" i="14"/>
  <c r="K29" i="4"/>
  <c r="L29" i="4" s="1"/>
  <c r="P29" i="4" s="1"/>
  <c r="AE14" i="5" s="1"/>
  <c r="I30" i="4"/>
  <c r="H31" i="4"/>
  <c r="M29" i="8"/>
  <c r="K29" i="8"/>
  <c r="I29" i="8"/>
  <c r="J29" i="8" s="1"/>
  <c r="O29" i="8" s="1"/>
  <c r="L32" i="1"/>
  <c r="O32" i="1"/>
  <c r="Q27" i="9"/>
  <c r="Q27" i="3"/>
  <c r="R27" i="14"/>
  <c r="N29" i="4"/>
  <c r="AE42" i="5" s="1"/>
  <c r="M29" i="6"/>
  <c r="K29" i="6"/>
  <c r="I29" i="6"/>
  <c r="M29" i="11"/>
  <c r="K29" i="11"/>
  <c r="I29" i="11"/>
  <c r="M29" i="9"/>
  <c r="K29" i="9"/>
  <c r="I29" i="9"/>
  <c r="L28" i="15"/>
  <c r="P28" i="15" s="1"/>
  <c r="AD13" i="5" s="1"/>
  <c r="N28" i="15"/>
  <c r="AD41" i="5" s="1"/>
  <c r="N28" i="13"/>
  <c r="AD39" i="5" s="1"/>
  <c r="L28" i="13"/>
  <c r="P28" i="13" s="1"/>
  <c r="AD11" i="5" s="1"/>
  <c r="L28" i="10"/>
  <c r="P28" i="10" s="1"/>
  <c r="AD7" i="5" s="1"/>
  <c r="N28" i="10"/>
  <c r="AD35" i="5" s="1"/>
  <c r="R27" i="9"/>
  <c r="R27" i="3"/>
  <c r="Q27" i="14"/>
  <c r="J28" i="11"/>
  <c r="O28" i="11" s="1"/>
  <c r="M29" i="12"/>
  <c r="K29" i="12"/>
  <c r="I29" i="12"/>
  <c r="M29" i="15"/>
  <c r="K29" i="15"/>
  <c r="I29" i="15"/>
  <c r="M29" i="14"/>
  <c r="K29" i="14"/>
  <c r="I29" i="14"/>
  <c r="J28" i="14"/>
  <c r="O28" i="14" s="1"/>
  <c r="J28" i="6"/>
  <c r="O28" i="6" s="1"/>
  <c r="N28" i="12"/>
  <c r="AD38" i="5" s="1"/>
  <c r="L28" i="12"/>
  <c r="P28" i="12" s="1"/>
  <c r="AD10" i="5" s="1"/>
  <c r="J28" i="8"/>
  <c r="O28" i="8" s="1"/>
  <c r="J32" i="1"/>
  <c r="P32" i="1" s="1"/>
  <c r="Q27" i="8"/>
  <c r="J28" i="3"/>
  <c r="O28" i="3" s="1"/>
  <c r="J28" i="9"/>
  <c r="O28" i="9" s="1"/>
  <c r="M29" i="3"/>
  <c r="K29" i="3"/>
  <c r="I29" i="3"/>
  <c r="J29" i="3" s="1"/>
  <c r="O29" i="3" s="1"/>
  <c r="M29" i="10"/>
  <c r="K29" i="10"/>
  <c r="I29" i="10"/>
  <c r="J29" i="10" s="1"/>
  <c r="O29" i="10" s="1"/>
  <c r="M29" i="13"/>
  <c r="K29" i="13"/>
  <c r="I29" i="13"/>
  <c r="J29" i="13" s="1"/>
  <c r="O29" i="13" s="1"/>
  <c r="Q31" i="1" l="1"/>
  <c r="R31" i="1"/>
  <c r="N32" i="1"/>
  <c r="Q28" i="9"/>
  <c r="Q28" i="6"/>
  <c r="Q28" i="14"/>
  <c r="R28" i="9"/>
  <c r="R28" i="8"/>
  <c r="R28" i="14"/>
  <c r="Q28" i="8"/>
  <c r="R28" i="6"/>
  <c r="R28" i="11"/>
  <c r="R28" i="3"/>
  <c r="Q28" i="11"/>
  <c r="Q28" i="3"/>
  <c r="N29" i="15"/>
  <c r="AE41" i="5" s="1"/>
  <c r="L29" i="15"/>
  <c r="P29" i="15" s="1"/>
  <c r="AE13" i="5" s="1"/>
  <c r="L29" i="12"/>
  <c r="P29" i="12" s="1"/>
  <c r="AE10" i="5" s="1"/>
  <c r="N29" i="12"/>
  <c r="AE38" i="5" s="1"/>
  <c r="L29" i="9"/>
  <c r="P29" i="9" s="1"/>
  <c r="AE6" i="5" s="1"/>
  <c r="N29" i="9"/>
  <c r="AE34" i="5" s="1"/>
  <c r="N29" i="11"/>
  <c r="AE36" i="5" s="1"/>
  <c r="L29" i="11"/>
  <c r="P29" i="11" s="1"/>
  <c r="AE8" i="5" s="1"/>
  <c r="N29" i="6"/>
  <c r="AE37" i="5" s="1"/>
  <c r="L29" i="6"/>
  <c r="P29" i="6" s="1"/>
  <c r="AE9" i="5" s="1"/>
  <c r="Q28" i="12"/>
  <c r="N30" i="4"/>
  <c r="AF42" i="5" s="1"/>
  <c r="M30" i="6"/>
  <c r="K30" i="6"/>
  <c r="I30" i="6"/>
  <c r="J30" i="6" s="1"/>
  <c r="O30" i="6" s="1"/>
  <c r="M30" i="8"/>
  <c r="K30" i="8"/>
  <c r="I30" i="8"/>
  <c r="J30" i="8" s="1"/>
  <c r="O30" i="8" s="1"/>
  <c r="M30" i="12"/>
  <c r="K30" i="12"/>
  <c r="I30" i="12"/>
  <c r="J30" i="12" s="1"/>
  <c r="O30" i="12" s="1"/>
  <c r="L33" i="1"/>
  <c r="O33" i="1"/>
  <c r="Q28" i="13"/>
  <c r="N29" i="3"/>
  <c r="AE32" i="5" s="1"/>
  <c r="L29" i="3"/>
  <c r="P29" i="3" s="1"/>
  <c r="AE4" i="5" s="1"/>
  <c r="N29" i="8"/>
  <c r="AE33" i="5" s="1"/>
  <c r="L29" i="8"/>
  <c r="P29" i="8" s="1"/>
  <c r="AE5" i="5" s="1"/>
  <c r="Q29" i="4"/>
  <c r="M30" i="11"/>
  <c r="K30" i="11"/>
  <c r="I30" i="11"/>
  <c r="J30" i="11" s="1"/>
  <c r="O30" i="11" s="1"/>
  <c r="M30" i="13"/>
  <c r="K30" i="13"/>
  <c r="I30" i="13"/>
  <c r="J30" i="13" s="1"/>
  <c r="O30" i="13" s="1"/>
  <c r="R28" i="13"/>
  <c r="N29" i="14"/>
  <c r="AE40" i="5" s="1"/>
  <c r="L29" i="14"/>
  <c r="P29" i="14" s="1"/>
  <c r="AE12" i="5" s="1"/>
  <c r="N29" i="10"/>
  <c r="AE35" i="5" s="1"/>
  <c r="L29" i="10"/>
  <c r="P29" i="10" s="1"/>
  <c r="AE7" i="5" s="1"/>
  <c r="J29" i="14"/>
  <c r="O29" i="14" s="1"/>
  <c r="J29" i="12"/>
  <c r="O29" i="12" s="1"/>
  <c r="J29" i="11"/>
  <c r="O29" i="11" s="1"/>
  <c r="R29" i="4"/>
  <c r="J30" i="4"/>
  <c r="O30" i="4" s="1"/>
  <c r="M30" i="3"/>
  <c r="K30" i="3"/>
  <c r="I30" i="3"/>
  <c r="M30" i="10"/>
  <c r="K30" i="10"/>
  <c r="I30" i="10"/>
  <c r="J33" i="1"/>
  <c r="P33" i="1" s="1"/>
  <c r="Q28" i="10"/>
  <c r="Q28" i="15"/>
  <c r="N29" i="13"/>
  <c r="AE39" i="5" s="1"/>
  <c r="L29" i="13"/>
  <c r="P29" i="13" s="1"/>
  <c r="AE11" i="5" s="1"/>
  <c r="J29" i="15"/>
  <c r="O29" i="15" s="1"/>
  <c r="J29" i="9"/>
  <c r="O29" i="9" s="1"/>
  <c r="J29" i="6"/>
  <c r="O29" i="6" s="1"/>
  <c r="R28" i="12"/>
  <c r="M31" i="4"/>
  <c r="H31" i="14"/>
  <c r="H31" i="3"/>
  <c r="H31" i="13"/>
  <c r="H31" i="6"/>
  <c r="H31" i="10"/>
  <c r="H31" i="8"/>
  <c r="H31" i="15"/>
  <c r="H31" i="11"/>
  <c r="H31" i="9"/>
  <c r="H31" i="12"/>
  <c r="K30" i="4"/>
  <c r="L30" i="4" s="1"/>
  <c r="P30" i="4" s="1"/>
  <c r="I31" i="4"/>
  <c r="H32" i="4"/>
  <c r="M30" i="14"/>
  <c r="K30" i="14"/>
  <c r="I30" i="14"/>
  <c r="J30" i="14" s="1"/>
  <c r="O30" i="14" s="1"/>
  <c r="M30" i="15"/>
  <c r="K30" i="15"/>
  <c r="I30" i="15"/>
  <c r="J30" i="15" s="1"/>
  <c r="O30" i="15" s="1"/>
  <c r="M30" i="9"/>
  <c r="K30" i="9"/>
  <c r="I30" i="9"/>
  <c r="J30" i="9" s="1"/>
  <c r="O30" i="9" s="1"/>
  <c r="M34" i="1"/>
  <c r="K34" i="1"/>
  <c r="I34" i="1"/>
  <c r="J34" i="1" s="1"/>
  <c r="P34" i="1" s="1"/>
  <c r="H35" i="1"/>
  <c r="R28" i="10"/>
  <c r="R28" i="15"/>
  <c r="Q32" i="1" l="1"/>
  <c r="R32" i="1"/>
  <c r="N33" i="1"/>
  <c r="R29" i="15"/>
  <c r="Q29" i="15"/>
  <c r="R29" i="3"/>
  <c r="Q29" i="6"/>
  <c r="Q29" i="10"/>
  <c r="Q29" i="9"/>
  <c r="R29" i="10"/>
  <c r="R29" i="9"/>
  <c r="Q29" i="3"/>
  <c r="Q29" i="12"/>
  <c r="R29" i="12"/>
  <c r="R29" i="6"/>
  <c r="R29" i="14"/>
  <c r="Q29" i="11"/>
  <c r="R29" i="8"/>
  <c r="R29" i="11"/>
  <c r="Q29" i="8"/>
  <c r="Q29" i="14"/>
  <c r="AF14" i="5"/>
  <c r="Q30" i="4"/>
  <c r="R30" i="4"/>
  <c r="N30" i="10"/>
  <c r="AF35" i="5" s="1"/>
  <c r="L30" i="10"/>
  <c r="P30" i="10" s="1"/>
  <c r="AF7" i="5" s="1"/>
  <c r="M31" i="15"/>
  <c r="K31" i="15"/>
  <c r="I31" i="15"/>
  <c r="J31" i="15" s="1"/>
  <c r="O31" i="15" s="1"/>
  <c r="M31" i="13"/>
  <c r="K31" i="13"/>
  <c r="I31" i="13"/>
  <c r="J31" i="13" s="1"/>
  <c r="O31" i="13" s="1"/>
  <c r="L30" i="3"/>
  <c r="P30" i="3" s="1"/>
  <c r="AF4" i="5" s="1"/>
  <c r="N30" i="3"/>
  <c r="AF32" i="5" s="1"/>
  <c r="M35" i="1"/>
  <c r="K35" i="1"/>
  <c r="I35" i="1"/>
  <c r="J35" i="1" s="1"/>
  <c r="P35" i="1" s="1"/>
  <c r="H36" i="1"/>
  <c r="M31" i="12"/>
  <c r="K31" i="12"/>
  <c r="I31" i="12"/>
  <c r="J31" i="12" s="1"/>
  <c r="O31" i="12" s="1"/>
  <c r="M31" i="8"/>
  <c r="K31" i="8"/>
  <c r="I31" i="8"/>
  <c r="J31" i="8" s="1"/>
  <c r="O31" i="8" s="1"/>
  <c r="M31" i="3"/>
  <c r="K31" i="3"/>
  <c r="I31" i="3"/>
  <c r="J31" i="3" s="1"/>
  <c r="O31" i="3" s="1"/>
  <c r="R29" i="13"/>
  <c r="N31" i="4"/>
  <c r="AG42" i="5" s="1"/>
  <c r="L34" i="1"/>
  <c r="O34" i="1"/>
  <c r="L30" i="9"/>
  <c r="P30" i="9" s="1"/>
  <c r="AF6" i="5" s="1"/>
  <c r="N30" i="9"/>
  <c r="AF34" i="5" s="1"/>
  <c r="L30" i="15"/>
  <c r="P30" i="15" s="1"/>
  <c r="AF13" i="5" s="1"/>
  <c r="N30" i="15"/>
  <c r="AF41" i="5" s="1"/>
  <c r="N30" i="14"/>
  <c r="AF40" i="5" s="1"/>
  <c r="L30" i="14"/>
  <c r="P30" i="14" s="1"/>
  <c r="AF12" i="5" s="1"/>
  <c r="H32" i="12"/>
  <c r="H32" i="9"/>
  <c r="H32" i="3"/>
  <c r="M32" i="4"/>
  <c r="H32" i="13"/>
  <c r="H32" i="15"/>
  <c r="H32" i="8"/>
  <c r="H32" i="11"/>
  <c r="H32" i="6"/>
  <c r="H32" i="10"/>
  <c r="H32" i="14"/>
  <c r="K31" i="4"/>
  <c r="L31" i="4" s="1"/>
  <c r="P31" i="4" s="1"/>
  <c r="I32" i="4"/>
  <c r="J32" i="4" s="1"/>
  <c r="O32" i="4" s="1"/>
  <c r="H33" i="4"/>
  <c r="M31" i="9"/>
  <c r="K31" i="9"/>
  <c r="I31" i="9"/>
  <c r="M31" i="10"/>
  <c r="K31" i="10"/>
  <c r="I31" i="10"/>
  <c r="M31" i="14"/>
  <c r="K31" i="14"/>
  <c r="I31" i="14"/>
  <c r="Q29" i="13"/>
  <c r="J30" i="10"/>
  <c r="O30" i="10" s="1"/>
  <c r="J30" i="3"/>
  <c r="O30" i="3" s="1"/>
  <c r="M31" i="11"/>
  <c r="K31" i="11"/>
  <c r="I31" i="11"/>
  <c r="J31" i="11" s="1"/>
  <c r="O31" i="11" s="1"/>
  <c r="M31" i="6"/>
  <c r="K31" i="6"/>
  <c r="I31" i="6"/>
  <c r="J31" i="6" s="1"/>
  <c r="O31" i="6" s="1"/>
  <c r="J31" i="4"/>
  <c r="O31" i="4" s="1"/>
  <c r="N30" i="13"/>
  <c r="AF39" i="5" s="1"/>
  <c r="L30" i="13"/>
  <c r="P30" i="13" s="1"/>
  <c r="AF11" i="5" s="1"/>
  <c r="L30" i="11"/>
  <c r="P30" i="11" s="1"/>
  <c r="AF8" i="5" s="1"/>
  <c r="N30" i="11"/>
  <c r="AF36" i="5" s="1"/>
  <c r="N30" i="12"/>
  <c r="AF38" i="5" s="1"/>
  <c r="L30" i="12"/>
  <c r="P30" i="12" s="1"/>
  <c r="AF10" i="5" s="1"/>
  <c r="N30" i="8"/>
  <c r="AF33" i="5" s="1"/>
  <c r="L30" i="8"/>
  <c r="P30" i="8" s="1"/>
  <c r="AF5" i="5" s="1"/>
  <c r="N30" i="6"/>
  <c r="AF37" i="5" s="1"/>
  <c r="L30" i="6"/>
  <c r="P30" i="6" s="1"/>
  <c r="AF9" i="5" s="1"/>
  <c r="Q33" i="1" l="1"/>
  <c r="R33" i="1"/>
  <c r="N34" i="1"/>
  <c r="R30" i="10"/>
  <c r="R30" i="3"/>
  <c r="Q30" i="10"/>
  <c r="Q30" i="3"/>
  <c r="AG14" i="5"/>
  <c r="R31" i="4"/>
  <c r="Q31" i="4"/>
  <c r="L31" i="14"/>
  <c r="P31" i="14" s="1"/>
  <c r="AG12" i="5" s="1"/>
  <c r="N31" i="14"/>
  <c r="AG40" i="5" s="1"/>
  <c r="L31" i="10"/>
  <c r="P31" i="10" s="1"/>
  <c r="AG7" i="5" s="1"/>
  <c r="N31" i="10"/>
  <c r="AG35" i="5" s="1"/>
  <c r="H33" i="8"/>
  <c r="H33" i="6"/>
  <c r="M33" i="4"/>
  <c r="H33" i="11"/>
  <c r="H33" i="12"/>
  <c r="H33" i="15"/>
  <c r="H33" i="14"/>
  <c r="H33" i="3"/>
  <c r="H33" i="9"/>
  <c r="H33" i="10"/>
  <c r="H33" i="13"/>
  <c r="K32" i="4"/>
  <c r="L32" i="4" s="1"/>
  <c r="P32" i="4" s="1"/>
  <c r="AH14" i="5" s="1"/>
  <c r="I33" i="4"/>
  <c r="J33" i="4" s="1"/>
  <c r="O33" i="4" s="1"/>
  <c r="H34" i="4"/>
  <c r="M32" i="10"/>
  <c r="K32" i="10"/>
  <c r="I32" i="10"/>
  <c r="J32" i="10" s="1"/>
  <c r="O32" i="10" s="1"/>
  <c r="M32" i="9"/>
  <c r="K32" i="9"/>
  <c r="I32" i="9"/>
  <c r="J32" i="9" s="1"/>
  <c r="O32" i="9" s="1"/>
  <c r="R30" i="13"/>
  <c r="Q30" i="9"/>
  <c r="R30" i="6"/>
  <c r="R30" i="11"/>
  <c r="L31" i="9"/>
  <c r="P31" i="9" s="1"/>
  <c r="AG6" i="5" s="1"/>
  <c r="N31" i="9"/>
  <c r="AG34" i="5" s="1"/>
  <c r="M32" i="15"/>
  <c r="K32" i="15"/>
  <c r="I32" i="15"/>
  <c r="Q30" i="12"/>
  <c r="N32" i="4"/>
  <c r="AH42" i="5" s="1"/>
  <c r="M32" i="6"/>
  <c r="K32" i="6"/>
  <c r="I32" i="6"/>
  <c r="J32" i="6" s="1"/>
  <c r="O32" i="6" s="1"/>
  <c r="M32" i="13"/>
  <c r="K32" i="13"/>
  <c r="I32" i="13"/>
  <c r="M32" i="12"/>
  <c r="K32" i="12"/>
  <c r="I32" i="12"/>
  <c r="Q30" i="8"/>
  <c r="Q30" i="15"/>
  <c r="R30" i="12"/>
  <c r="J31" i="14"/>
  <c r="O31" i="14" s="1"/>
  <c r="J31" i="10"/>
  <c r="O31" i="10" s="1"/>
  <c r="M32" i="11"/>
  <c r="K32" i="11"/>
  <c r="I32" i="11"/>
  <c r="R30" i="8"/>
  <c r="N31" i="3"/>
  <c r="AG32" i="5" s="1"/>
  <c r="L31" i="3"/>
  <c r="P31" i="3" s="1"/>
  <c r="AG4" i="5" s="1"/>
  <c r="N31" i="8"/>
  <c r="AG33" i="5" s="1"/>
  <c r="L31" i="8"/>
  <c r="P31" i="8" s="1"/>
  <c r="AG5" i="5" s="1"/>
  <c r="L31" i="12"/>
  <c r="P31" i="12" s="1"/>
  <c r="AG10" i="5" s="1"/>
  <c r="N31" i="12"/>
  <c r="AG38" i="5" s="1"/>
  <c r="R30" i="14"/>
  <c r="M36" i="1"/>
  <c r="K36" i="1"/>
  <c r="I36" i="1"/>
  <c r="J36" i="1" s="1"/>
  <c r="P36" i="1" s="1"/>
  <c r="H37" i="1"/>
  <c r="R30" i="15"/>
  <c r="L31" i="6"/>
  <c r="P31" i="6" s="1"/>
  <c r="AG9" i="5" s="1"/>
  <c r="N31" i="6"/>
  <c r="AG37" i="5" s="1"/>
  <c r="L31" i="11"/>
  <c r="P31" i="11" s="1"/>
  <c r="AG8" i="5" s="1"/>
  <c r="N31" i="11"/>
  <c r="AG36" i="5" s="1"/>
  <c r="Q30" i="6"/>
  <c r="Q30" i="11"/>
  <c r="J31" i="9"/>
  <c r="O31" i="9" s="1"/>
  <c r="M32" i="14"/>
  <c r="K32" i="14"/>
  <c r="I32" i="14"/>
  <c r="J32" i="14" s="1"/>
  <c r="O32" i="14" s="1"/>
  <c r="M32" i="8"/>
  <c r="K32" i="8"/>
  <c r="I32" i="8"/>
  <c r="M32" i="3"/>
  <c r="K32" i="3"/>
  <c r="I32" i="3"/>
  <c r="Q30" i="13"/>
  <c r="Q30" i="14"/>
  <c r="L35" i="1"/>
  <c r="O35" i="1"/>
  <c r="N31" i="13"/>
  <c r="AG39" i="5" s="1"/>
  <c r="L31" i="13"/>
  <c r="P31" i="13" s="1"/>
  <c r="AG11" i="5" s="1"/>
  <c r="N31" i="15"/>
  <c r="AG41" i="5" s="1"/>
  <c r="L31" i="15"/>
  <c r="P31" i="15" s="1"/>
  <c r="AG13" i="5" s="1"/>
  <c r="R30" i="9"/>
  <c r="Q34" i="1" l="1"/>
  <c r="R34" i="1"/>
  <c r="N35" i="1"/>
  <c r="R31" i="14"/>
  <c r="Q31" i="14"/>
  <c r="Q31" i="9"/>
  <c r="R31" i="9"/>
  <c r="R31" i="10"/>
  <c r="Q31" i="10"/>
  <c r="Q32" i="4"/>
  <c r="R32" i="4"/>
  <c r="R31" i="15"/>
  <c r="N32" i="11"/>
  <c r="AH36" i="5" s="1"/>
  <c r="L32" i="11"/>
  <c r="P32" i="11" s="1"/>
  <c r="AH8" i="5" s="1"/>
  <c r="R31" i="8"/>
  <c r="R31" i="11"/>
  <c r="N32" i="15"/>
  <c r="AH41" i="5" s="1"/>
  <c r="L32" i="15"/>
  <c r="P32" i="15" s="1"/>
  <c r="AH13" i="5" s="1"/>
  <c r="M33" i="3"/>
  <c r="K33" i="3"/>
  <c r="I33" i="3"/>
  <c r="M33" i="11"/>
  <c r="K33" i="11"/>
  <c r="I33" i="11"/>
  <c r="M33" i="8"/>
  <c r="K33" i="8"/>
  <c r="I33" i="8"/>
  <c r="L32" i="3"/>
  <c r="P32" i="3" s="1"/>
  <c r="AH4" i="5" s="1"/>
  <c r="N32" i="3"/>
  <c r="AH32" i="5" s="1"/>
  <c r="M37" i="1"/>
  <c r="K37" i="1"/>
  <c r="I37" i="1"/>
  <c r="H38" i="1"/>
  <c r="Q31" i="8"/>
  <c r="L32" i="12"/>
  <c r="P32" i="12" s="1"/>
  <c r="AH10" i="5" s="1"/>
  <c r="N32" i="12"/>
  <c r="AH38" i="5" s="1"/>
  <c r="L32" i="13"/>
  <c r="P32" i="13" s="1"/>
  <c r="AH11" i="5" s="1"/>
  <c r="N32" i="13"/>
  <c r="AH39" i="5" s="1"/>
  <c r="N32" i="6"/>
  <c r="AH37" i="5" s="1"/>
  <c r="L32" i="6"/>
  <c r="P32" i="6" s="1"/>
  <c r="AH9" i="5" s="1"/>
  <c r="Q31" i="11"/>
  <c r="M33" i="13"/>
  <c r="K33" i="13"/>
  <c r="I33" i="13"/>
  <c r="M33" i="14"/>
  <c r="K33" i="14"/>
  <c r="I33" i="14"/>
  <c r="J33" i="14" s="1"/>
  <c r="O33" i="14" s="1"/>
  <c r="N32" i="8"/>
  <c r="AH33" i="5" s="1"/>
  <c r="L32" i="8"/>
  <c r="P32" i="8" s="1"/>
  <c r="AH5" i="5" s="1"/>
  <c r="J32" i="8"/>
  <c r="O32" i="8" s="1"/>
  <c r="J32" i="3"/>
  <c r="O32" i="3" s="1"/>
  <c r="O36" i="1"/>
  <c r="L36" i="1"/>
  <c r="R31" i="13"/>
  <c r="Q31" i="12"/>
  <c r="R31" i="3"/>
  <c r="R31" i="6"/>
  <c r="J32" i="15"/>
  <c r="O32" i="15" s="1"/>
  <c r="N32" i="9"/>
  <c r="AH34" i="5" s="1"/>
  <c r="L32" i="9"/>
  <c r="P32" i="9" s="1"/>
  <c r="AH6" i="5" s="1"/>
  <c r="N32" i="10"/>
  <c r="AH35" i="5" s="1"/>
  <c r="L32" i="10"/>
  <c r="P32" i="10" s="1"/>
  <c r="AH7" i="5" s="1"/>
  <c r="M34" i="4"/>
  <c r="H34" i="6"/>
  <c r="H34" i="3"/>
  <c r="H34" i="9"/>
  <c r="H34" i="10"/>
  <c r="H34" i="15"/>
  <c r="H34" i="13"/>
  <c r="H34" i="14"/>
  <c r="H34" i="11"/>
  <c r="H34" i="8"/>
  <c r="H34" i="12"/>
  <c r="K33" i="4"/>
  <c r="L33" i="4" s="1"/>
  <c r="P33" i="4" s="1"/>
  <c r="AI14" i="5" s="1"/>
  <c r="I34" i="4"/>
  <c r="H35" i="4"/>
  <c r="M33" i="10"/>
  <c r="K33" i="10"/>
  <c r="I33" i="10"/>
  <c r="J33" i="10" s="1"/>
  <c r="O33" i="10" s="1"/>
  <c r="M33" i="15"/>
  <c r="K33" i="15"/>
  <c r="I33" i="15"/>
  <c r="J33" i="15" s="1"/>
  <c r="O33" i="15" s="1"/>
  <c r="L32" i="14"/>
  <c r="P32" i="14" s="1"/>
  <c r="AH12" i="5" s="1"/>
  <c r="N32" i="14"/>
  <c r="AH40" i="5" s="1"/>
  <c r="Q31" i="15"/>
  <c r="J32" i="11"/>
  <c r="O32" i="11" s="1"/>
  <c r="Q31" i="13"/>
  <c r="R31" i="12"/>
  <c r="Q31" i="3"/>
  <c r="J32" i="12"/>
  <c r="O32" i="12" s="1"/>
  <c r="J32" i="13"/>
  <c r="O32" i="13" s="1"/>
  <c r="Q31" i="6"/>
  <c r="N33" i="4"/>
  <c r="AI42" i="5" s="1"/>
  <c r="M33" i="9"/>
  <c r="K33" i="9"/>
  <c r="I33" i="9"/>
  <c r="J33" i="9" s="1"/>
  <c r="O33" i="9" s="1"/>
  <c r="M33" i="12"/>
  <c r="K33" i="12"/>
  <c r="I33" i="12"/>
  <c r="J33" i="12" s="1"/>
  <c r="O33" i="12" s="1"/>
  <c r="M33" i="6"/>
  <c r="K33" i="6"/>
  <c r="I33" i="6"/>
  <c r="J33" i="6" s="1"/>
  <c r="O33" i="6" s="1"/>
  <c r="Q35" i="1" l="1"/>
  <c r="R35" i="1"/>
  <c r="N36" i="1"/>
  <c r="R32" i="15"/>
  <c r="Q32" i="8"/>
  <c r="Q32" i="6"/>
  <c r="Q32" i="11"/>
  <c r="R32" i="6"/>
  <c r="R32" i="11"/>
  <c r="R32" i="8"/>
  <c r="Q32" i="15"/>
  <c r="Q32" i="3"/>
  <c r="R32" i="3"/>
  <c r="R33" i="4"/>
  <c r="M34" i="12"/>
  <c r="K34" i="12"/>
  <c r="I34" i="12"/>
  <c r="J34" i="12" s="1"/>
  <c r="O34" i="12" s="1"/>
  <c r="M34" i="13"/>
  <c r="K34" i="13"/>
  <c r="I34" i="13"/>
  <c r="J34" i="13" s="1"/>
  <c r="O34" i="13" s="1"/>
  <c r="M34" i="3"/>
  <c r="K34" i="3"/>
  <c r="I34" i="3"/>
  <c r="J34" i="3" s="1"/>
  <c r="O34" i="3" s="1"/>
  <c r="O37" i="1"/>
  <c r="L37" i="1"/>
  <c r="N33" i="8"/>
  <c r="AI33" i="5" s="1"/>
  <c r="L33" i="8"/>
  <c r="P33" i="8" s="1"/>
  <c r="AI5" i="5" s="1"/>
  <c r="N33" i="11"/>
  <c r="AI36" i="5" s="1"/>
  <c r="L33" i="11"/>
  <c r="P33" i="11" s="1"/>
  <c r="AI8" i="5" s="1"/>
  <c r="N33" i="3"/>
  <c r="AI32" i="5" s="1"/>
  <c r="L33" i="3"/>
  <c r="P33" i="3" s="1"/>
  <c r="AI4" i="5" s="1"/>
  <c r="Q32" i="9"/>
  <c r="Q32" i="12"/>
  <c r="N33" i="15"/>
  <c r="AI41" i="5" s="1"/>
  <c r="L33" i="15"/>
  <c r="P33" i="15" s="1"/>
  <c r="AI13" i="5" s="1"/>
  <c r="L33" i="10"/>
  <c r="P33" i="10" s="1"/>
  <c r="AI7" i="5" s="1"/>
  <c r="N33" i="10"/>
  <c r="AI35" i="5" s="1"/>
  <c r="H35" i="15"/>
  <c r="H35" i="10"/>
  <c r="H35" i="9"/>
  <c r="M35" i="4"/>
  <c r="H35" i="11"/>
  <c r="H35" i="14"/>
  <c r="H35" i="3"/>
  <c r="H35" i="12"/>
  <c r="H35" i="13"/>
  <c r="H35" i="6"/>
  <c r="H35" i="8"/>
  <c r="K34" i="4"/>
  <c r="L34" i="4" s="1"/>
  <c r="P34" i="4" s="1"/>
  <c r="AJ14" i="5" s="1"/>
  <c r="I35" i="4"/>
  <c r="H36" i="4"/>
  <c r="M34" i="8"/>
  <c r="K34" i="8"/>
  <c r="I34" i="8"/>
  <c r="J34" i="8" s="1"/>
  <c r="O34" i="8" s="1"/>
  <c r="M34" i="15"/>
  <c r="K34" i="15"/>
  <c r="I34" i="15"/>
  <c r="M34" i="6"/>
  <c r="K34" i="6"/>
  <c r="I34" i="6"/>
  <c r="J34" i="6" s="1"/>
  <c r="O34" i="6" s="1"/>
  <c r="Q32" i="14"/>
  <c r="L33" i="14"/>
  <c r="P33" i="14" s="1"/>
  <c r="AI12" i="5" s="1"/>
  <c r="N33" i="14"/>
  <c r="AI40" i="5" s="1"/>
  <c r="L33" i="13"/>
  <c r="P33" i="13" s="1"/>
  <c r="AI11" i="5" s="1"/>
  <c r="N33" i="13"/>
  <c r="AI39" i="5" s="1"/>
  <c r="R32" i="10"/>
  <c r="R32" i="9"/>
  <c r="Q32" i="13"/>
  <c r="N34" i="4"/>
  <c r="AJ42" i="5" s="1"/>
  <c r="M34" i="11"/>
  <c r="K34" i="11"/>
  <c r="I34" i="11"/>
  <c r="J34" i="11" s="1"/>
  <c r="O34" i="11" s="1"/>
  <c r="M34" i="10"/>
  <c r="K34" i="10"/>
  <c r="I34" i="10"/>
  <c r="J34" i="10" s="1"/>
  <c r="O34" i="10" s="1"/>
  <c r="R32" i="14"/>
  <c r="Q32" i="10"/>
  <c r="R32" i="13"/>
  <c r="N33" i="6"/>
  <c r="AI37" i="5" s="1"/>
  <c r="L33" i="6"/>
  <c r="P33" i="6" s="1"/>
  <c r="AI9" i="5" s="1"/>
  <c r="N33" i="12"/>
  <c r="AI38" i="5" s="1"/>
  <c r="L33" i="12"/>
  <c r="P33" i="12" s="1"/>
  <c r="AI10" i="5" s="1"/>
  <c r="L33" i="9"/>
  <c r="P33" i="9" s="1"/>
  <c r="AI6" i="5" s="1"/>
  <c r="N33" i="9"/>
  <c r="AI34" i="5" s="1"/>
  <c r="Q33" i="4"/>
  <c r="M34" i="14"/>
  <c r="K34" i="14"/>
  <c r="I34" i="14"/>
  <c r="J34" i="14" s="1"/>
  <c r="O34" i="14" s="1"/>
  <c r="M34" i="9"/>
  <c r="K34" i="9"/>
  <c r="I34" i="9"/>
  <c r="J34" i="9" s="1"/>
  <c r="O34" i="9" s="1"/>
  <c r="J34" i="4"/>
  <c r="O34" i="4" s="1"/>
  <c r="J33" i="13"/>
  <c r="O33" i="13" s="1"/>
  <c r="M38" i="1"/>
  <c r="K38" i="1"/>
  <c r="I38" i="1"/>
  <c r="J38" i="1" s="1"/>
  <c r="P38" i="1" s="1"/>
  <c r="H39" i="1"/>
  <c r="J37" i="1"/>
  <c r="P37" i="1" s="1"/>
  <c r="J33" i="8"/>
  <c r="O33" i="8" s="1"/>
  <c r="J33" i="11"/>
  <c r="O33" i="11" s="1"/>
  <c r="J33" i="3"/>
  <c r="O33" i="3" s="1"/>
  <c r="R32" i="12"/>
  <c r="Q36" i="1" l="1"/>
  <c r="R36" i="1"/>
  <c r="N37" i="1"/>
  <c r="Q33" i="8"/>
  <c r="R33" i="11"/>
  <c r="Q33" i="11"/>
  <c r="R33" i="14"/>
  <c r="Q33" i="3"/>
  <c r="R33" i="10"/>
  <c r="Q33" i="10"/>
  <c r="R33" i="3"/>
  <c r="R33" i="15"/>
  <c r="R33" i="8"/>
  <c r="Q33" i="14"/>
  <c r="Q33" i="15"/>
  <c r="R33" i="6"/>
  <c r="R34" i="4"/>
  <c r="Q34" i="4"/>
  <c r="Q33" i="6"/>
  <c r="N34" i="6"/>
  <c r="AJ37" i="5" s="1"/>
  <c r="L34" i="6"/>
  <c r="P34" i="6" s="1"/>
  <c r="AJ9" i="5" s="1"/>
  <c r="N34" i="15"/>
  <c r="AJ41" i="5" s="1"/>
  <c r="L34" i="15"/>
  <c r="P34" i="15" s="1"/>
  <c r="AJ13" i="5" s="1"/>
  <c r="L34" i="8"/>
  <c r="P34" i="8" s="1"/>
  <c r="AJ5" i="5" s="1"/>
  <c r="N34" i="8"/>
  <c r="AJ33" i="5" s="1"/>
  <c r="H36" i="6"/>
  <c r="H36" i="14"/>
  <c r="M36" i="4"/>
  <c r="H36" i="13"/>
  <c r="H36" i="11"/>
  <c r="H36" i="8"/>
  <c r="H36" i="12"/>
  <c r="H36" i="15"/>
  <c r="H36" i="3"/>
  <c r="H36" i="9"/>
  <c r="H36" i="10"/>
  <c r="K35" i="4"/>
  <c r="L35" i="4" s="1"/>
  <c r="P35" i="4" s="1"/>
  <c r="I36" i="4"/>
  <c r="J36" i="4" s="1"/>
  <c r="O36" i="4" s="1"/>
  <c r="H37" i="4"/>
  <c r="M35" i="6"/>
  <c r="K35" i="6"/>
  <c r="I35" i="6"/>
  <c r="J35" i="6" s="1"/>
  <c r="O35" i="6" s="1"/>
  <c r="M35" i="14"/>
  <c r="K35" i="14"/>
  <c r="I35" i="14"/>
  <c r="J35" i="14" s="1"/>
  <c r="O35" i="14" s="1"/>
  <c r="M35" i="10"/>
  <c r="K35" i="10"/>
  <c r="I35" i="10"/>
  <c r="J35" i="10" s="1"/>
  <c r="O35" i="10" s="1"/>
  <c r="Q33" i="9"/>
  <c r="N35" i="4"/>
  <c r="AK42" i="5" s="1"/>
  <c r="M35" i="13"/>
  <c r="K35" i="13"/>
  <c r="I35" i="13"/>
  <c r="J35" i="13" s="1"/>
  <c r="O35" i="13" s="1"/>
  <c r="M35" i="11"/>
  <c r="K35" i="11"/>
  <c r="I35" i="11"/>
  <c r="J35" i="11" s="1"/>
  <c r="O35" i="11" s="1"/>
  <c r="M35" i="15"/>
  <c r="K35" i="15"/>
  <c r="I35" i="15"/>
  <c r="J35" i="15" s="1"/>
  <c r="O35" i="15" s="1"/>
  <c r="R33" i="13"/>
  <c r="M39" i="1"/>
  <c r="K39" i="1"/>
  <c r="I39" i="1"/>
  <c r="J39" i="1" s="1"/>
  <c r="P39" i="1" s="1"/>
  <c r="H40" i="1"/>
  <c r="Q33" i="12"/>
  <c r="R33" i="9"/>
  <c r="Q34" i="15"/>
  <c r="M35" i="12"/>
  <c r="K35" i="12"/>
  <c r="I35" i="12"/>
  <c r="J35" i="12" s="1"/>
  <c r="O35" i="12" s="1"/>
  <c r="J35" i="4"/>
  <c r="O35" i="4" s="1"/>
  <c r="Q33" i="13"/>
  <c r="L38" i="1"/>
  <c r="O38" i="1"/>
  <c r="N34" i="9"/>
  <c r="AJ34" i="5" s="1"/>
  <c r="L34" i="9"/>
  <c r="P34" i="9" s="1"/>
  <c r="AJ6" i="5" s="1"/>
  <c r="N34" i="14"/>
  <c r="AJ40" i="5" s="1"/>
  <c r="L34" i="14"/>
  <c r="P34" i="14" s="1"/>
  <c r="AJ12" i="5" s="1"/>
  <c r="R33" i="12"/>
  <c r="N34" i="10"/>
  <c r="AJ35" i="5" s="1"/>
  <c r="L34" i="10"/>
  <c r="P34" i="10" s="1"/>
  <c r="AJ7" i="5" s="1"/>
  <c r="L34" i="11"/>
  <c r="P34" i="11" s="1"/>
  <c r="AJ8" i="5" s="1"/>
  <c r="N34" i="11"/>
  <c r="AJ36" i="5" s="1"/>
  <c r="J34" i="15"/>
  <c r="O34" i="15" s="1"/>
  <c r="M35" i="8"/>
  <c r="K35" i="8"/>
  <c r="I35" i="8"/>
  <c r="J35" i="8" s="1"/>
  <c r="O35" i="8" s="1"/>
  <c r="M35" i="3"/>
  <c r="K35" i="3"/>
  <c r="I35" i="3"/>
  <c r="J35" i="3" s="1"/>
  <c r="O35" i="3" s="1"/>
  <c r="M35" i="9"/>
  <c r="K35" i="9"/>
  <c r="I35" i="9"/>
  <c r="J35" i="9" s="1"/>
  <c r="O35" i="9" s="1"/>
  <c r="N34" i="3"/>
  <c r="AJ32" i="5" s="1"/>
  <c r="L34" i="3"/>
  <c r="P34" i="3" s="1"/>
  <c r="AJ4" i="5" s="1"/>
  <c r="N34" i="13"/>
  <c r="AJ39" i="5" s="1"/>
  <c r="L34" i="13"/>
  <c r="P34" i="13" s="1"/>
  <c r="AJ11" i="5" s="1"/>
  <c r="L34" i="12"/>
  <c r="P34" i="12" s="1"/>
  <c r="AJ10" i="5" s="1"/>
  <c r="N34" i="12"/>
  <c r="AJ38" i="5" s="1"/>
  <c r="R37" i="1" l="1"/>
  <c r="Q37" i="1"/>
  <c r="N38" i="1"/>
  <c r="R34" i="6"/>
  <c r="Q34" i="6"/>
  <c r="R34" i="15"/>
  <c r="R34" i="8"/>
  <c r="Q34" i="8"/>
  <c r="R34" i="9"/>
  <c r="AK14" i="5"/>
  <c r="Q35" i="4"/>
  <c r="Q34" i="9"/>
  <c r="Q34" i="3"/>
  <c r="M36" i="11"/>
  <c r="K36" i="11"/>
  <c r="I36" i="11"/>
  <c r="M36" i="6"/>
  <c r="K36" i="6"/>
  <c r="I36" i="6"/>
  <c r="N35" i="9"/>
  <c r="AK34" i="5" s="1"/>
  <c r="L35" i="9"/>
  <c r="P35" i="9" s="1"/>
  <c r="AK6" i="5" s="1"/>
  <c r="N35" i="3"/>
  <c r="AK32" i="5" s="1"/>
  <c r="L35" i="3"/>
  <c r="P35" i="3" s="1"/>
  <c r="AK4" i="5" s="1"/>
  <c r="N35" i="8"/>
  <c r="AK33" i="5" s="1"/>
  <c r="L35" i="8"/>
  <c r="P35" i="8" s="1"/>
  <c r="AK5" i="5" s="1"/>
  <c r="Q34" i="12"/>
  <c r="R35" i="4"/>
  <c r="Q34" i="14"/>
  <c r="M40" i="1"/>
  <c r="K40" i="1"/>
  <c r="I40" i="1"/>
  <c r="J40" i="1" s="1"/>
  <c r="P40" i="1" s="1"/>
  <c r="H41" i="1"/>
  <c r="R34" i="3"/>
  <c r="M36" i="10"/>
  <c r="K36" i="10"/>
  <c r="I36" i="10"/>
  <c r="J36" i="10" s="1"/>
  <c r="O36" i="10" s="1"/>
  <c r="M36" i="15"/>
  <c r="K36" i="15"/>
  <c r="I36" i="15"/>
  <c r="J36" i="15" s="1"/>
  <c r="O36" i="15" s="1"/>
  <c r="M36" i="13"/>
  <c r="K36" i="13"/>
  <c r="I36" i="13"/>
  <c r="J36" i="13" s="1"/>
  <c r="O36" i="13" s="1"/>
  <c r="R34" i="12"/>
  <c r="Q34" i="11"/>
  <c r="R34" i="14"/>
  <c r="L39" i="1"/>
  <c r="O39" i="1"/>
  <c r="R34" i="13"/>
  <c r="Q34" i="10"/>
  <c r="N35" i="10"/>
  <c r="AK35" i="5" s="1"/>
  <c r="L35" i="10"/>
  <c r="P35" i="10" s="1"/>
  <c r="AK7" i="5" s="1"/>
  <c r="L35" i="14"/>
  <c r="P35" i="14" s="1"/>
  <c r="AK12" i="5" s="1"/>
  <c r="N35" i="14"/>
  <c r="AK40" i="5" s="1"/>
  <c r="N35" i="6"/>
  <c r="AK37" i="5" s="1"/>
  <c r="L35" i="6"/>
  <c r="P35" i="6" s="1"/>
  <c r="AK9" i="5" s="1"/>
  <c r="H37" i="3"/>
  <c r="M37" i="4"/>
  <c r="H37" i="13"/>
  <c r="H37" i="9"/>
  <c r="H37" i="12"/>
  <c r="H37" i="11"/>
  <c r="H37" i="10"/>
  <c r="H37" i="6"/>
  <c r="H37" i="14"/>
  <c r="H37" i="8"/>
  <c r="H37" i="15"/>
  <c r="K37" i="4"/>
  <c r="K36" i="4"/>
  <c r="L36" i="4" s="1"/>
  <c r="P36" i="4" s="1"/>
  <c r="I37" i="4"/>
  <c r="H38" i="4"/>
  <c r="M36" i="9"/>
  <c r="K36" i="9"/>
  <c r="I36" i="9"/>
  <c r="J36" i="9" s="1"/>
  <c r="O36" i="9" s="1"/>
  <c r="M36" i="12"/>
  <c r="K36" i="12"/>
  <c r="I36" i="12"/>
  <c r="J36" i="12" s="1"/>
  <c r="O36" i="12" s="1"/>
  <c r="N35" i="12"/>
  <c r="AK38" i="5" s="1"/>
  <c r="L35" i="12"/>
  <c r="P35" i="12" s="1"/>
  <c r="AK10" i="5" s="1"/>
  <c r="R34" i="11"/>
  <c r="Q34" i="13"/>
  <c r="N35" i="15"/>
  <c r="AK41" i="5" s="1"/>
  <c r="L35" i="15"/>
  <c r="P35" i="15" s="1"/>
  <c r="AK13" i="5" s="1"/>
  <c r="L35" i="11"/>
  <c r="P35" i="11" s="1"/>
  <c r="AK8" i="5" s="1"/>
  <c r="N35" i="11"/>
  <c r="AK36" i="5" s="1"/>
  <c r="N35" i="13"/>
  <c r="AK39" i="5" s="1"/>
  <c r="L35" i="13"/>
  <c r="P35" i="13" s="1"/>
  <c r="AK11" i="5" s="1"/>
  <c r="R34" i="10"/>
  <c r="N36" i="4"/>
  <c r="M36" i="3"/>
  <c r="K36" i="3"/>
  <c r="I36" i="3"/>
  <c r="J36" i="3" s="1"/>
  <c r="O36" i="3" s="1"/>
  <c r="M36" i="8"/>
  <c r="K36" i="8"/>
  <c r="I36" i="8"/>
  <c r="J36" i="8" s="1"/>
  <c r="O36" i="8" s="1"/>
  <c r="M36" i="14"/>
  <c r="K36" i="14"/>
  <c r="I36" i="14"/>
  <c r="J36" i="14" s="1"/>
  <c r="O36" i="14" s="1"/>
  <c r="R35" i="9" l="1"/>
  <c r="R38" i="1"/>
  <c r="Q38" i="1"/>
  <c r="N39" i="1"/>
  <c r="Q35" i="8"/>
  <c r="R35" i="8"/>
  <c r="Q35" i="9"/>
  <c r="R35" i="6"/>
  <c r="AL27" i="5"/>
  <c r="AL14" i="5"/>
  <c r="R36" i="4"/>
  <c r="Q36" i="4"/>
  <c r="M37" i="14"/>
  <c r="K37" i="14"/>
  <c r="I37" i="14"/>
  <c r="M37" i="11"/>
  <c r="K37" i="11"/>
  <c r="I37" i="11"/>
  <c r="R35" i="15"/>
  <c r="Q35" i="11"/>
  <c r="N36" i="6"/>
  <c r="L36" i="6"/>
  <c r="P36" i="6" s="1"/>
  <c r="R36" i="6" s="1"/>
  <c r="N36" i="11"/>
  <c r="L36" i="11"/>
  <c r="P36" i="11" s="1"/>
  <c r="Q36" i="11" s="1"/>
  <c r="Q35" i="14"/>
  <c r="N36" i="14"/>
  <c r="L36" i="14"/>
  <c r="P36" i="14" s="1"/>
  <c r="N36" i="8"/>
  <c r="L36" i="8"/>
  <c r="P36" i="8" s="1"/>
  <c r="N36" i="3"/>
  <c r="L36" i="3"/>
  <c r="P36" i="3" s="1"/>
  <c r="R36" i="3" s="1"/>
  <c r="M37" i="6"/>
  <c r="K37" i="6"/>
  <c r="I37" i="6"/>
  <c r="J37" i="6" s="1"/>
  <c r="O37" i="6" s="1"/>
  <c r="M37" i="12"/>
  <c r="K37" i="12"/>
  <c r="I37" i="12"/>
  <c r="J37" i="12" s="1"/>
  <c r="O37" i="12" s="1"/>
  <c r="M37" i="3"/>
  <c r="K37" i="3"/>
  <c r="I37" i="3"/>
  <c r="J37" i="3" s="1"/>
  <c r="O37" i="3" s="1"/>
  <c r="Q35" i="13"/>
  <c r="Q35" i="10"/>
  <c r="R35" i="14"/>
  <c r="AL55" i="5"/>
  <c r="AL42" i="5"/>
  <c r="N36" i="12"/>
  <c r="L36" i="12"/>
  <c r="P36" i="12" s="1"/>
  <c r="R36" i="12" s="1"/>
  <c r="N36" i="9"/>
  <c r="L36" i="9"/>
  <c r="P36" i="9" s="1"/>
  <c r="R36" i="9" s="1"/>
  <c r="M38" i="4"/>
  <c r="H38" i="6"/>
  <c r="H38" i="11"/>
  <c r="H38" i="8"/>
  <c r="H38" i="13"/>
  <c r="H38" i="10"/>
  <c r="H38" i="12"/>
  <c r="H38" i="9"/>
  <c r="H38" i="15"/>
  <c r="H38" i="14"/>
  <c r="H38" i="3"/>
  <c r="K38" i="4"/>
  <c r="I38" i="4"/>
  <c r="J38" i="4" s="1"/>
  <c r="O38" i="4" s="1"/>
  <c r="H39" i="4"/>
  <c r="M37" i="15"/>
  <c r="K37" i="15"/>
  <c r="I37" i="15"/>
  <c r="M37" i="10"/>
  <c r="K37" i="10"/>
  <c r="I37" i="10"/>
  <c r="J37" i="10" s="1"/>
  <c r="O37" i="10" s="1"/>
  <c r="M37" i="9"/>
  <c r="K37" i="9"/>
  <c r="I37" i="9"/>
  <c r="R35" i="13"/>
  <c r="R35" i="12"/>
  <c r="R35" i="10"/>
  <c r="M41" i="1"/>
  <c r="K41" i="1"/>
  <c r="I41" i="1"/>
  <c r="J41" i="1" s="1"/>
  <c r="P41" i="1" s="1"/>
  <c r="H42" i="1"/>
  <c r="Q35" i="3"/>
  <c r="L37" i="4"/>
  <c r="P37" i="4" s="1"/>
  <c r="AK27" i="5" s="1"/>
  <c r="N37" i="4"/>
  <c r="AK55" i="5" s="1"/>
  <c r="M37" i="8"/>
  <c r="K37" i="8"/>
  <c r="I37" i="8"/>
  <c r="J37" i="8" s="1"/>
  <c r="O37" i="8" s="1"/>
  <c r="J37" i="4"/>
  <c r="O37" i="4" s="1"/>
  <c r="M37" i="13"/>
  <c r="K37" i="13"/>
  <c r="I37" i="13"/>
  <c r="J37" i="13" s="1"/>
  <c r="O37" i="13" s="1"/>
  <c r="Q35" i="15"/>
  <c r="Q35" i="12"/>
  <c r="L36" i="13"/>
  <c r="P36" i="13" s="1"/>
  <c r="R36" i="13" s="1"/>
  <c r="N36" i="13"/>
  <c r="N36" i="15"/>
  <c r="L36" i="15"/>
  <c r="P36" i="15" s="1"/>
  <c r="N36" i="10"/>
  <c r="L36" i="10"/>
  <c r="P36" i="10" s="1"/>
  <c r="Q36" i="10" s="1"/>
  <c r="Q35" i="6"/>
  <c r="R35" i="11"/>
  <c r="O40" i="1"/>
  <c r="L40" i="1"/>
  <c r="J36" i="6"/>
  <c r="O36" i="6" s="1"/>
  <c r="J36" i="11"/>
  <c r="O36" i="11" s="1"/>
  <c r="R35" i="3"/>
  <c r="Q39" i="1" l="1"/>
  <c r="R39" i="1"/>
  <c r="N40" i="1"/>
  <c r="R36" i="11"/>
  <c r="Q36" i="3"/>
  <c r="Q36" i="6"/>
  <c r="AL26" i="5"/>
  <c r="AL13" i="5"/>
  <c r="M42" i="1"/>
  <c r="K42" i="1"/>
  <c r="I42" i="1"/>
  <c r="J42" i="1" s="1"/>
  <c r="P42" i="1" s="1"/>
  <c r="H43" i="1"/>
  <c r="L37" i="9"/>
  <c r="P37" i="9" s="1"/>
  <c r="AK19" i="5" s="1"/>
  <c r="N37" i="9"/>
  <c r="AK47" i="5" s="1"/>
  <c r="L37" i="10"/>
  <c r="P37" i="10" s="1"/>
  <c r="AK20" i="5" s="1"/>
  <c r="N37" i="10"/>
  <c r="AK48" i="5" s="1"/>
  <c r="N37" i="15"/>
  <c r="AK54" i="5" s="1"/>
  <c r="L37" i="15"/>
  <c r="P37" i="15" s="1"/>
  <c r="AK26" i="5" s="1"/>
  <c r="M39" i="4"/>
  <c r="H39" i="15"/>
  <c r="H39" i="6"/>
  <c r="H39" i="9"/>
  <c r="H39" i="12"/>
  <c r="H39" i="3"/>
  <c r="H39" i="13"/>
  <c r="H39" i="14"/>
  <c r="H39" i="10"/>
  <c r="H39" i="8"/>
  <c r="H39" i="11"/>
  <c r="K39" i="4"/>
  <c r="I39" i="4"/>
  <c r="H40" i="4"/>
  <c r="M38" i="12"/>
  <c r="K38" i="12"/>
  <c r="I38" i="12"/>
  <c r="J38" i="12" s="1"/>
  <c r="O38" i="12" s="1"/>
  <c r="M38" i="11"/>
  <c r="K38" i="11"/>
  <c r="I38" i="11"/>
  <c r="J38" i="11" s="1"/>
  <c r="O38" i="11" s="1"/>
  <c r="AL34" i="5"/>
  <c r="AL47" i="5"/>
  <c r="AL18" i="5"/>
  <c r="AL5" i="5"/>
  <c r="AL21" i="5"/>
  <c r="AL8" i="5"/>
  <c r="N37" i="11"/>
  <c r="AK49" i="5" s="1"/>
  <c r="L37" i="11"/>
  <c r="P37" i="11" s="1"/>
  <c r="AK21" i="5" s="1"/>
  <c r="N37" i="14"/>
  <c r="AK53" i="5" s="1"/>
  <c r="L37" i="14"/>
  <c r="P37" i="14" s="1"/>
  <c r="AK25" i="5" s="1"/>
  <c r="R36" i="8"/>
  <c r="O41" i="1"/>
  <c r="L41" i="1"/>
  <c r="L38" i="4"/>
  <c r="P38" i="4" s="1"/>
  <c r="AJ27" i="5" s="1"/>
  <c r="N38" i="4"/>
  <c r="AJ55" i="5" s="1"/>
  <c r="M38" i="14"/>
  <c r="K38" i="14"/>
  <c r="I38" i="14"/>
  <c r="J38" i="14" s="1"/>
  <c r="O38" i="14" s="1"/>
  <c r="M38" i="10"/>
  <c r="K38" i="10"/>
  <c r="I38" i="10"/>
  <c r="J38" i="10" s="1"/>
  <c r="O38" i="10" s="1"/>
  <c r="M38" i="6"/>
  <c r="K38" i="6"/>
  <c r="I38" i="6"/>
  <c r="J38" i="6" s="1"/>
  <c r="O38" i="6" s="1"/>
  <c r="AL10" i="5"/>
  <c r="AL23" i="5"/>
  <c r="R36" i="15"/>
  <c r="Q36" i="12"/>
  <c r="AL33" i="5"/>
  <c r="AL46" i="5"/>
  <c r="AL49" i="5"/>
  <c r="AL36" i="5"/>
  <c r="Q36" i="8"/>
  <c r="AL41" i="5"/>
  <c r="AL54" i="5"/>
  <c r="AL7" i="5"/>
  <c r="AL20" i="5"/>
  <c r="AL52" i="5"/>
  <c r="AL39" i="5"/>
  <c r="N37" i="13"/>
  <c r="AK52" i="5" s="1"/>
  <c r="L37" i="13"/>
  <c r="P37" i="13" s="1"/>
  <c r="AK24" i="5" s="1"/>
  <c r="M38" i="15"/>
  <c r="K38" i="15"/>
  <c r="I38" i="15"/>
  <c r="J38" i="15" s="1"/>
  <c r="O38" i="15" s="1"/>
  <c r="M38" i="13"/>
  <c r="K38" i="13"/>
  <c r="I38" i="13"/>
  <c r="J38" i="13" s="1"/>
  <c r="O38" i="13" s="1"/>
  <c r="AL51" i="5"/>
  <c r="AL38" i="5"/>
  <c r="Q36" i="15"/>
  <c r="N37" i="3"/>
  <c r="AK45" i="5" s="1"/>
  <c r="L37" i="3"/>
  <c r="P37" i="3" s="1"/>
  <c r="AK17" i="5" s="1"/>
  <c r="N37" i="12"/>
  <c r="AK51" i="5" s="1"/>
  <c r="L37" i="12"/>
  <c r="P37" i="12" s="1"/>
  <c r="AK23" i="5" s="1"/>
  <c r="N37" i="6"/>
  <c r="AK50" i="5" s="1"/>
  <c r="L37" i="6"/>
  <c r="P37" i="6" s="1"/>
  <c r="AK22" i="5" s="1"/>
  <c r="AL17" i="5"/>
  <c r="AL4" i="5"/>
  <c r="AL12" i="5"/>
  <c r="AL25" i="5"/>
  <c r="AL22" i="5"/>
  <c r="AL9" i="5"/>
  <c r="R37" i="4"/>
  <c r="J37" i="14"/>
  <c r="O37" i="14" s="1"/>
  <c r="R36" i="14"/>
  <c r="AL35" i="5"/>
  <c r="AL48" i="5"/>
  <c r="AL11" i="5"/>
  <c r="AL24" i="5"/>
  <c r="N37" i="8"/>
  <c r="AK46" i="5" s="1"/>
  <c r="L37" i="8"/>
  <c r="P37" i="8" s="1"/>
  <c r="AK18" i="5" s="1"/>
  <c r="J37" i="9"/>
  <c r="O37" i="9" s="1"/>
  <c r="J37" i="15"/>
  <c r="O37" i="15" s="1"/>
  <c r="M38" i="3"/>
  <c r="K38" i="3"/>
  <c r="I38" i="3"/>
  <c r="J38" i="3" s="1"/>
  <c r="O38" i="3" s="1"/>
  <c r="M38" i="9"/>
  <c r="K38" i="9"/>
  <c r="I38" i="9"/>
  <c r="M38" i="8"/>
  <c r="K38" i="8"/>
  <c r="I38" i="8"/>
  <c r="J38" i="8" s="1"/>
  <c r="O38" i="8" s="1"/>
  <c r="AL19" i="5"/>
  <c r="AL6" i="5"/>
  <c r="R36" i="10"/>
  <c r="Q36" i="13"/>
  <c r="Q36" i="9"/>
  <c r="AL45" i="5"/>
  <c r="AL32" i="5"/>
  <c r="AL53" i="5"/>
  <c r="AL40" i="5"/>
  <c r="AL37" i="5"/>
  <c r="AL50" i="5"/>
  <c r="Q37" i="4"/>
  <c r="J37" i="11"/>
  <c r="O37" i="11" s="1"/>
  <c r="Q36" i="14"/>
  <c r="Q40" i="1" l="1"/>
  <c r="R40" i="1"/>
  <c r="N41" i="1"/>
  <c r="Q37" i="9"/>
  <c r="Q38" i="4"/>
  <c r="Q37" i="14"/>
  <c r="R37" i="9"/>
  <c r="R37" i="15"/>
  <c r="Q37" i="15"/>
  <c r="Q37" i="10"/>
  <c r="R37" i="14"/>
  <c r="R37" i="13"/>
  <c r="R38" i="4"/>
  <c r="R37" i="8"/>
  <c r="R37" i="11"/>
  <c r="R37" i="10"/>
  <c r="Q37" i="11"/>
  <c r="N38" i="9"/>
  <c r="AJ47" i="5" s="1"/>
  <c r="L38" i="9"/>
  <c r="P38" i="9" s="1"/>
  <c r="AJ19" i="5" s="1"/>
  <c r="R37" i="3"/>
  <c r="Q37" i="12"/>
  <c r="N38" i="11"/>
  <c r="AJ49" i="5" s="1"/>
  <c r="L38" i="11"/>
  <c r="P38" i="11" s="1"/>
  <c r="AJ21" i="5" s="1"/>
  <c r="L38" i="12"/>
  <c r="P38" i="12" s="1"/>
  <c r="AJ23" i="5" s="1"/>
  <c r="N38" i="12"/>
  <c r="AJ51" i="5" s="1"/>
  <c r="M40" i="4"/>
  <c r="H40" i="13"/>
  <c r="H40" i="14"/>
  <c r="H40" i="12"/>
  <c r="H40" i="3"/>
  <c r="H40" i="10"/>
  <c r="H40" i="8"/>
  <c r="H40" i="9"/>
  <c r="H40" i="6"/>
  <c r="H40" i="15"/>
  <c r="H40" i="11"/>
  <c r="K40" i="4"/>
  <c r="I40" i="4"/>
  <c r="H41" i="4"/>
  <c r="M39" i="8"/>
  <c r="K39" i="8"/>
  <c r="I39" i="8"/>
  <c r="J39" i="8" s="1"/>
  <c r="O39" i="8" s="1"/>
  <c r="M39" i="3"/>
  <c r="K39" i="3"/>
  <c r="I39" i="3"/>
  <c r="J39" i="3" s="1"/>
  <c r="O39" i="3" s="1"/>
  <c r="M39" i="15"/>
  <c r="K39" i="15"/>
  <c r="I39" i="15"/>
  <c r="J39" i="15" s="1"/>
  <c r="O39" i="15" s="1"/>
  <c r="N38" i="8"/>
  <c r="AJ46" i="5" s="1"/>
  <c r="L38" i="8"/>
  <c r="P38" i="8" s="1"/>
  <c r="AJ18" i="5" s="1"/>
  <c r="J38" i="9"/>
  <c r="O38" i="9" s="1"/>
  <c r="Q37" i="3"/>
  <c r="N38" i="6"/>
  <c r="AJ50" i="5" s="1"/>
  <c r="L38" i="6"/>
  <c r="P38" i="6" s="1"/>
  <c r="AJ22" i="5" s="1"/>
  <c r="N38" i="10"/>
  <c r="AJ48" i="5" s="1"/>
  <c r="L38" i="10"/>
  <c r="P38" i="10" s="1"/>
  <c r="AJ20" i="5" s="1"/>
  <c r="N38" i="14"/>
  <c r="AJ53" i="5" s="1"/>
  <c r="L38" i="14"/>
  <c r="P38" i="14" s="1"/>
  <c r="AJ25" i="5" s="1"/>
  <c r="R37" i="12"/>
  <c r="N39" i="4"/>
  <c r="AI55" i="5" s="1"/>
  <c r="L39" i="4"/>
  <c r="P39" i="4" s="1"/>
  <c r="AI27" i="5" s="1"/>
  <c r="M39" i="10"/>
  <c r="K39" i="10"/>
  <c r="I39" i="10"/>
  <c r="J39" i="10" s="1"/>
  <c r="O39" i="10" s="1"/>
  <c r="M39" i="12"/>
  <c r="K39" i="12"/>
  <c r="I39" i="12"/>
  <c r="J39" i="12" s="1"/>
  <c r="O39" i="12" s="1"/>
  <c r="M43" i="1"/>
  <c r="K43" i="1"/>
  <c r="I43" i="1"/>
  <c r="H44" i="1"/>
  <c r="R37" i="6"/>
  <c r="M39" i="14"/>
  <c r="K39" i="14"/>
  <c r="I39" i="14"/>
  <c r="J39" i="14" s="1"/>
  <c r="O39" i="14" s="1"/>
  <c r="M39" i="9"/>
  <c r="K39" i="9"/>
  <c r="I39" i="9"/>
  <c r="J39" i="9" s="1"/>
  <c r="O39" i="9" s="1"/>
  <c r="J39" i="4"/>
  <c r="O39" i="4" s="1"/>
  <c r="O42" i="1"/>
  <c r="L42" i="1"/>
  <c r="L38" i="3"/>
  <c r="P38" i="3" s="1"/>
  <c r="AJ17" i="5" s="1"/>
  <c r="N38" i="3"/>
  <c r="AJ45" i="5" s="1"/>
  <c r="L38" i="13"/>
  <c r="P38" i="13" s="1"/>
  <c r="AJ24" i="5" s="1"/>
  <c r="N38" i="13"/>
  <c r="AJ52" i="5" s="1"/>
  <c r="N38" i="15"/>
  <c r="AJ54" i="5" s="1"/>
  <c r="L38" i="15"/>
  <c r="P38" i="15" s="1"/>
  <c r="AJ26" i="5" s="1"/>
  <c r="Q37" i="8"/>
  <c r="Q37" i="13"/>
  <c r="Q38" i="6"/>
  <c r="Q37" i="6"/>
  <c r="M39" i="11"/>
  <c r="K39" i="11"/>
  <c r="I39" i="11"/>
  <c r="J39" i="11" s="1"/>
  <c r="O39" i="11" s="1"/>
  <c r="M39" i="13"/>
  <c r="K39" i="13"/>
  <c r="I39" i="13"/>
  <c r="J39" i="13" s="1"/>
  <c r="O39" i="13" s="1"/>
  <c r="M39" i="6"/>
  <c r="K39" i="6"/>
  <c r="I39" i="6"/>
  <c r="J39" i="6" s="1"/>
  <c r="O39" i="6" s="1"/>
  <c r="Q41" i="1" l="1"/>
  <c r="R41" i="1"/>
  <c r="N42" i="1"/>
  <c r="R38" i="10"/>
  <c r="Q39" i="4"/>
  <c r="Q38" i="14"/>
  <c r="R38" i="6"/>
  <c r="R38" i="11"/>
  <c r="R38" i="14"/>
  <c r="Q38" i="11"/>
  <c r="R38" i="12"/>
  <c r="R39" i="4"/>
  <c r="Q38" i="10"/>
  <c r="Q38" i="12"/>
  <c r="O43" i="1"/>
  <c r="L43" i="1"/>
  <c r="R38" i="15"/>
  <c r="N40" i="4"/>
  <c r="AH55" i="5" s="1"/>
  <c r="L40" i="4"/>
  <c r="P40" i="4" s="1"/>
  <c r="AH27" i="5" s="1"/>
  <c r="M40" i="6"/>
  <c r="K40" i="6"/>
  <c r="I40" i="6"/>
  <c r="M40" i="3"/>
  <c r="K40" i="3"/>
  <c r="I40" i="3"/>
  <c r="R38" i="3"/>
  <c r="Q38" i="15"/>
  <c r="R38" i="8"/>
  <c r="M40" i="9"/>
  <c r="K40" i="9"/>
  <c r="I40" i="9"/>
  <c r="M40" i="12"/>
  <c r="K40" i="12"/>
  <c r="I40" i="12"/>
  <c r="J40" i="4"/>
  <c r="O40" i="4" s="1"/>
  <c r="L39" i="6"/>
  <c r="P39" i="6" s="1"/>
  <c r="AI22" i="5" s="1"/>
  <c r="N39" i="6"/>
  <c r="AI50" i="5" s="1"/>
  <c r="L39" i="13"/>
  <c r="P39" i="13" s="1"/>
  <c r="AI24" i="5" s="1"/>
  <c r="N39" i="13"/>
  <c r="AI52" i="5" s="1"/>
  <c r="N39" i="11"/>
  <c r="AI49" i="5" s="1"/>
  <c r="L39" i="11"/>
  <c r="P39" i="11" s="1"/>
  <c r="AI21" i="5" s="1"/>
  <c r="N39" i="9"/>
  <c r="AI47" i="5" s="1"/>
  <c r="L39" i="9"/>
  <c r="P39" i="9" s="1"/>
  <c r="AI19" i="5" s="1"/>
  <c r="N39" i="14"/>
  <c r="AI53" i="5" s="1"/>
  <c r="L39" i="14"/>
  <c r="P39" i="14" s="1"/>
  <c r="AI25" i="5" s="1"/>
  <c r="Q38" i="3"/>
  <c r="J43" i="1"/>
  <c r="P43" i="1" s="1"/>
  <c r="N39" i="12"/>
  <c r="AI51" i="5" s="1"/>
  <c r="L39" i="12"/>
  <c r="P39" i="12" s="1"/>
  <c r="AI23" i="5" s="1"/>
  <c r="L39" i="10"/>
  <c r="P39" i="10" s="1"/>
  <c r="AI20" i="5" s="1"/>
  <c r="N39" i="10"/>
  <c r="AI48" i="5" s="1"/>
  <c r="R38" i="13"/>
  <c r="Q38" i="8"/>
  <c r="M40" i="11"/>
  <c r="K40" i="11"/>
  <c r="I40" i="11"/>
  <c r="J40" i="11" s="1"/>
  <c r="O40" i="11" s="1"/>
  <c r="M40" i="8"/>
  <c r="K40" i="8"/>
  <c r="I40" i="8"/>
  <c r="J40" i="8" s="1"/>
  <c r="O40" i="8" s="1"/>
  <c r="M40" i="14"/>
  <c r="K40" i="14"/>
  <c r="I40" i="14"/>
  <c r="J40" i="14" s="1"/>
  <c r="O40" i="14" s="1"/>
  <c r="R38" i="9"/>
  <c r="M44" i="1"/>
  <c r="K44" i="1"/>
  <c r="I44" i="1"/>
  <c r="J44" i="1" s="1"/>
  <c r="P44" i="1" s="1"/>
  <c r="H45" i="1"/>
  <c r="Q38" i="13"/>
  <c r="L39" i="15"/>
  <c r="P39" i="15" s="1"/>
  <c r="AI26" i="5" s="1"/>
  <c r="N39" i="15"/>
  <c r="AI54" i="5" s="1"/>
  <c r="N39" i="3"/>
  <c r="AI45" i="5" s="1"/>
  <c r="L39" i="3"/>
  <c r="P39" i="3" s="1"/>
  <c r="AI17" i="5" s="1"/>
  <c r="N39" i="8"/>
  <c r="AI46" i="5" s="1"/>
  <c r="L39" i="8"/>
  <c r="P39" i="8" s="1"/>
  <c r="AI18" i="5" s="1"/>
  <c r="H41" i="9"/>
  <c r="M41" i="4"/>
  <c r="H41" i="12"/>
  <c r="H41" i="8"/>
  <c r="H41" i="10"/>
  <c r="H41" i="6"/>
  <c r="H41" i="13"/>
  <c r="H41" i="11"/>
  <c r="H41" i="14"/>
  <c r="H41" i="15"/>
  <c r="H41" i="3"/>
  <c r="K41" i="4"/>
  <c r="I41" i="4"/>
  <c r="J41" i="4" s="1"/>
  <c r="O41" i="4" s="1"/>
  <c r="H42" i="4"/>
  <c r="M40" i="15"/>
  <c r="K40" i="15"/>
  <c r="I40" i="15"/>
  <c r="J40" i="15" s="1"/>
  <c r="O40" i="15" s="1"/>
  <c r="M40" i="10"/>
  <c r="K40" i="10"/>
  <c r="I40" i="10"/>
  <c r="M40" i="13"/>
  <c r="K40" i="13"/>
  <c r="I40" i="13"/>
  <c r="J40" i="13" s="1"/>
  <c r="O40" i="13" s="1"/>
  <c r="Q38" i="9"/>
  <c r="R42" i="1" l="1"/>
  <c r="Q42" i="1"/>
  <c r="N43" i="1"/>
  <c r="Q40" i="4"/>
  <c r="R40" i="4"/>
  <c r="R39" i="9"/>
  <c r="R39" i="6"/>
  <c r="Q39" i="8"/>
  <c r="Q39" i="6"/>
  <c r="L40" i="13"/>
  <c r="P40" i="13" s="1"/>
  <c r="AH24" i="5" s="1"/>
  <c r="N40" i="13"/>
  <c r="AH52" i="5" s="1"/>
  <c r="L40" i="10"/>
  <c r="P40" i="10" s="1"/>
  <c r="AH20" i="5" s="1"/>
  <c r="N40" i="10"/>
  <c r="AH48" i="5" s="1"/>
  <c r="N40" i="15"/>
  <c r="AH54" i="5" s="1"/>
  <c r="L40" i="15"/>
  <c r="P40" i="15" s="1"/>
  <c r="AH26" i="5" s="1"/>
  <c r="H42" i="14"/>
  <c r="H42" i="9"/>
  <c r="M42" i="4"/>
  <c r="H42" i="6"/>
  <c r="H42" i="11"/>
  <c r="H42" i="15"/>
  <c r="H42" i="13"/>
  <c r="H42" i="10"/>
  <c r="H42" i="12"/>
  <c r="H42" i="8"/>
  <c r="H42" i="3"/>
  <c r="K42" i="4"/>
  <c r="I42" i="4"/>
  <c r="H43" i="4"/>
  <c r="M41" i="15"/>
  <c r="K41" i="15"/>
  <c r="I41" i="15"/>
  <c r="J41" i="15" s="1"/>
  <c r="O41" i="15" s="1"/>
  <c r="M41" i="6"/>
  <c r="K41" i="6"/>
  <c r="I41" i="6"/>
  <c r="J41" i="6" s="1"/>
  <c r="O41" i="6" s="1"/>
  <c r="M45" i="1"/>
  <c r="K45" i="1"/>
  <c r="I45" i="1"/>
  <c r="J45" i="1" s="1"/>
  <c r="P45" i="1" s="1"/>
  <c r="H46" i="1"/>
  <c r="Q39" i="15"/>
  <c r="Q39" i="13"/>
  <c r="Q39" i="11"/>
  <c r="Q39" i="12"/>
  <c r="L41" i="4"/>
  <c r="P41" i="4" s="1"/>
  <c r="AG27" i="5" s="1"/>
  <c r="N41" i="4"/>
  <c r="AG55" i="5" s="1"/>
  <c r="M41" i="14"/>
  <c r="K41" i="14"/>
  <c r="I41" i="14"/>
  <c r="J41" i="14" s="1"/>
  <c r="O41" i="14" s="1"/>
  <c r="M41" i="10"/>
  <c r="K41" i="10"/>
  <c r="I41" i="10"/>
  <c r="J41" i="10" s="1"/>
  <c r="O41" i="10" s="1"/>
  <c r="O44" i="1"/>
  <c r="L44" i="1"/>
  <c r="R39" i="15"/>
  <c r="R39" i="13"/>
  <c r="N40" i="12"/>
  <c r="AH51" i="5" s="1"/>
  <c r="L40" i="12"/>
  <c r="P40" i="12" s="1"/>
  <c r="AH23" i="5" s="1"/>
  <c r="N40" i="9"/>
  <c r="AH47" i="5" s="1"/>
  <c r="L40" i="9"/>
  <c r="P40" i="9" s="1"/>
  <c r="AH19" i="5" s="1"/>
  <c r="R39" i="3"/>
  <c r="R39" i="14"/>
  <c r="L40" i="3"/>
  <c r="P40" i="3" s="1"/>
  <c r="AH17" i="5" s="1"/>
  <c r="N40" i="3"/>
  <c r="AH45" i="5" s="1"/>
  <c r="L40" i="6"/>
  <c r="P40" i="6" s="1"/>
  <c r="AH22" i="5" s="1"/>
  <c r="N40" i="6"/>
  <c r="AH50" i="5" s="1"/>
  <c r="R39" i="12"/>
  <c r="M41" i="8"/>
  <c r="K41" i="8"/>
  <c r="I41" i="8"/>
  <c r="J41" i="8" s="1"/>
  <c r="O41" i="8" s="1"/>
  <c r="N40" i="8"/>
  <c r="AH46" i="5" s="1"/>
  <c r="L40" i="8"/>
  <c r="P40" i="8" s="1"/>
  <c r="AH18" i="5" s="1"/>
  <c r="N40" i="11"/>
  <c r="AH49" i="5" s="1"/>
  <c r="L40" i="11"/>
  <c r="P40" i="11" s="1"/>
  <c r="AH21" i="5" s="1"/>
  <c r="Q39" i="3"/>
  <c r="Q39" i="10"/>
  <c r="Q39" i="14"/>
  <c r="M41" i="11"/>
  <c r="K41" i="11"/>
  <c r="I41" i="11"/>
  <c r="M41" i="9"/>
  <c r="K41" i="9"/>
  <c r="I41" i="9"/>
  <c r="L40" i="14"/>
  <c r="P40" i="14" s="1"/>
  <c r="AH25" i="5" s="1"/>
  <c r="N40" i="14"/>
  <c r="AH53" i="5" s="1"/>
  <c r="J40" i="10"/>
  <c r="O40" i="10" s="1"/>
  <c r="M41" i="3"/>
  <c r="K41" i="3"/>
  <c r="I41" i="3"/>
  <c r="J41" i="3" s="1"/>
  <c r="O41" i="3" s="1"/>
  <c r="M41" i="13"/>
  <c r="K41" i="13"/>
  <c r="I41" i="13"/>
  <c r="J41" i="13" s="1"/>
  <c r="O41" i="13" s="1"/>
  <c r="M41" i="12"/>
  <c r="K41" i="12"/>
  <c r="I41" i="12"/>
  <c r="J41" i="12" s="1"/>
  <c r="O41" i="12" s="1"/>
  <c r="R39" i="8"/>
  <c r="Q39" i="9"/>
  <c r="J40" i="12"/>
  <c r="O40" i="12" s="1"/>
  <c r="J40" i="9"/>
  <c r="O40" i="9" s="1"/>
  <c r="R39" i="10"/>
  <c r="R39" i="11"/>
  <c r="J40" i="3"/>
  <c r="O40" i="3" s="1"/>
  <c r="J40" i="6"/>
  <c r="O40" i="6" s="1"/>
  <c r="Q43" i="1" l="1"/>
  <c r="R43" i="1"/>
  <c r="N44" i="1"/>
  <c r="Q40" i="13"/>
  <c r="R40" i="13"/>
  <c r="R40" i="15"/>
  <c r="Q40" i="15"/>
  <c r="Q40" i="10"/>
  <c r="R40" i="10"/>
  <c r="R41" i="4"/>
  <c r="R40" i="3"/>
  <c r="R40" i="11"/>
  <c r="Q40" i="3"/>
  <c r="N41" i="9"/>
  <c r="AG47" i="5" s="1"/>
  <c r="L41" i="9"/>
  <c r="P41" i="9" s="1"/>
  <c r="AG19" i="5" s="1"/>
  <c r="N41" i="11"/>
  <c r="AG49" i="5" s="1"/>
  <c r="L41" i="11"/>
  <c r="P41" i="11" s="1"/>
  <c r="AG21" i="5" s="1"/>
  <c r="R40" i="8"/>
  <c r="Q40" i="12"/>
  <c r="R40" i="14"/>
  <c r="L42" i="4"/>
  <c r="P42" i="4" s="1"/>
  <c r="AF27" i="5" s="1"/>
  <c r="N42" i="4"/>
  <c r="AF55" i="5" s="1"/>
  <c r="M42" i="12"/>
  <c r="K42" i="12"/>
  <c r="I42" i="12"/>
  <c r="M42" i="15"/>
  <c r="K42" i="15"/>
  <c r="I42" i="15"/>
  <c r="J42" i="15" s="1"/>
  <c r="O42" i="15" s="1"/>
  <c r="M42" i="9"/>
  <c r="K42" i="9"/>
  <c r="I42" i="9"/>
  <c r="N41" i="12"/>
  <c r="AG51" i="5" s="1"/>
  <c r="L41" i="12"/>
  <c r="P41" i="12" s="1"/>
  <c r="AG23" i="5" s="1"/>
  <c r="L41" i="13"/>
  <c r="P41" i="13" s="1"/>
  <c r="AG24" i="5" s="1"/>
  <c r="N41" i="13"/>
  <c r="AG52" i="5" s="1"/>
  <c r="L41" i="3"/>
  <c r="P41" i="3" s="1"/>
  <c r="AG17" i="5" s="1"/>
  <c r="N41" i="3"/>
  <c r="AG45" i="5" s="1"/>
  <c r="N41" i="8"/>
  <c r="AG46" i="5" s="1"/>
  <c r="L41" i="8"/>
  <c r="P41" i="8" s="1"/>
  <c r="AG18" i="5" s="1"/>
  <c r="Q40" i="8"/>
  <c r="Q41" i="4"/>
  <c r="R40" i="6"/>
  <c r="R40" i="12"/>
  <c r="Q40" i="14"/>
  <c r="J42" i="4"/>
  <c r="O42" i="4" s="1"/>
  <c r="M42" i="11"/>
  <c r="K42" i="11"/>
  <c r="I42" i="11"/>
  <c r="J42" i="11" s="1"/>
  <c r="O42" i="11" s="1"/>
  <c r="M42" i="14"/>
  <c r="K42" i="14"/>
  <c r="I42" i="14"/>
  <c r="J41" i="11"/>
  <c r="O41" i="11" s="1"/>
  <c r="Q40" i="11"/>
  <c r="N41" i="10"/>
  <c r="AG48" i="5" s="1"/>
  <c r="L41" i="10"/>
  <c r="P41" i="10" s="1"/>
  <c r="AG20" i="5" s="1"/>
  <c r="N41" i="14"/>
  <c r="AG53" i="5" s="1"/>
  <c r="L41" i="14"/>
  <c r="P41" i="14" s="1"/>
  <c r="AG25" i="5" s="1"/>
  <c r="Q40" i="6"/>
  <c r="Q40" i="9"/>
  <c r="M46" i="1"/>
  <c r="K46" i="1"/>
  <c r="I46" i="1"/>
  <c r="J46" i="1" s="1"/>
  <c r="P46" i="1" s="1"/>
  <c r="H47" i="1"/>
  <c r="M42" i="3"/>
  <c r="K42" i="3"/>
  <c r="I42" i="3"/>
  <c r="J42" i="3" s="1"/>
  <c r="O42" i="3" s="1"/>
  <c r="M42" i="10"/>
  <c r="K42" i="10"/>
  <c r="I42" i="10"/>
  <c r="J42" i="10" s="1"/>
  <c r="O42" i="10" s="1"/>
  <c r="M42" i="6"/>
  <c r="K42" i="6"/>
  <c r="I42" i="6"/>
  <c r="J41" i="9"/>
  <c r="O41" i="9" s="1"/>
  <c r="R40" i="9"/>
  <c r="L45" i="1"/>
  <c r="O45" i="1"/>
  <c r="N41" i="6"/>
  <c r="AG50" i="5" s="1"/>
  <c r="L41" i="6"/>
  <c r="P41" i="6" s="1"/>
  <c r="AG22" i="5" s="1"/>
  <c r="N41" i="15"/>
  <c r="AG54" i="5" s="1"/>
  <c r="L41" i="15"/>
  <c r="P41" i="15" s="1"/>
  <c r="AG26" i="5" s="1"/>
  <c r="M43" i="4"/>
  <c r="H43" i="15"/>
  <c r="H43" i="3"/>
  <c r="H43" i="6"/>
  <c r="H43" i="13"/>
  <c r="H43" i="8"/>
  <c r="H43" i="14"/>
  <c r="H43" i="11"/>
  <c r="H43" i="12"/>
  <c r="H43" i="9"/>
  <c r="H43" i="10"/>
  <c r="K43" i="4"/>
  <c r="I43" i="4"/>
  <c r="H44" i="4"/>
  <c r="M42" i="8"/>
  <c r="K42" i="8"/>
  <c r="I42" i="8"/>
  <c r="J42" i="8" s="1"/>
  <c r="O42" i="8" s="1"/>
  <c r="M42" i="13"/>
  <c r="K42" i="13"/>
  <c r="I42" i="13"/>
  <c r="J42" i="13" s="1"/>
  <c r="O42" i="13" s="1"/>
  <c r="Q44" i="1" l="1"/>
  <c r="R44" i="1"/>
  <c r="N45" i="1"/>
  <c r="Q41" i="3"/>
  <c r="Q42" i="4"/>
  <c r="R41" i="9"/>
  <c r="Q41" i="9"/>
  <c r="R41" i="3"/>
  <c r="Q41" i="11"/>
  <c r="R42" i="4"/>
  <c r="R41" i="11"/>
  <c r="Q41" i="13"/>
  <c r="R41" i="13"/>
  <c r="N43" i="4"/>
  <c r="AE55" i="5" s="1"/>
  <c r="L43" i="4"/>
  <c r="P43" i="4" s="1"/>
  <c r="AE27" i="5" s="1"/>
  <c r="M43" i="9"/>
  <c r="K43" i="9"/>
  <c r="I43" i="9"/>
  <c r="M43" i="8"/>
  <c r="K43" i="8"/>
  <c r="I43" i="8"/>
  <c r="M43" i="15"/>
  <c r="K43" i="15"/>
  <c r="I43" i="15"/>
  <c r="N42" i="6"/>
  <c r="AF50" i="5" s="1"/>
  <c r="L42" i="6"/>
  <c r="P42" i="6" s="1"/>
  <c r="AF22" i="5" s="1"/>
  <c r="L42" i="10"/>
  <c r="P42" i="10" s="1"/>
  <c r="AF20" i="5" s="1"/>
  <c r="N42" i="10"/>
  <c r="AF48" i="5" s="1"/>
  <c r="N42" i="3"/>
  <c r="AF45" i="5" s="1"/>
  <c r="L42" i="3"/>
  <c r="P42" i="3" s="1"/>
  <c r="AF17" i="5" s="1"/>
  <c r="R41" i="15"/>
  <c r="R41" i="10"/>
  <c r="Q41" i="12"/>
  <c r="Q41" i="15"/>
  <c r="N42" i="14"/>
  <c r="AF53" i="5" s="1"/>
  <c r="L42" i="14"/>
  <c r="P42" i="14" s="1"/>
  <c r="AF25" i="5" s="1"/>
  <c r="L42" i="11"/>
  <c r="P42" i="11" s="1"/>
  <c r="AF21" i="5" s="1"/>
  <c r="N42" i="11"/>
  <c r="AF49" i="5" s="1"/>
  <c r="Q41" i="14"/>
  <c r="L42" i="9"/>
  <c r="P42" i="9" s="1"/>
  <c r="AF19" i="5" s="1"/>
  <c r="N42" i="9"/>
  <c r="AF47" i="5" s="1"/>
  <c r="L42" i="15"/>
  <c r="P42" i="15" s="1"/>
  <c r="AF26" i="5" s="1"/>
  <c r="N42" i="15"/>
  <c r="AF54" i="5" s="1"/>
  <c r="L42" i="12"/>
  <c r="P42" i="12" s="1"/>
  <c r="AF23" i="5" s="1"/>
  <c r="N42" i="12"/>
  <c r="AF51" i="5" s="1"/>
  <c r="M43" i="12"/>
  <c r="K43" i="12"/>
  <c r="I43" i="12"/>
  <c r="M43" i="10"/>
  <c r="K43" i="10"/>
  <c r="I43" i="10"/>
  <c r="M43" i="11"/>
  <c r="K43" i="11"/>
  <c r="I43" i="11"/>
  <c r="M43" i="6"/>
  <c r="K43" i="6"/>
  <c r="I43" i="6"/>
  <c r="M47" i="1"/>
  <c r="K47" i="1"/>
  <c r="I47" i="1"/>
  <c r="H48" i="1"/>
  <c r="R41" i="6"/>
  <c r="R41" i="14"/>
  <c r="R41" i="8"/>
  <c r="M43" i="13"/>
  <c r="K43" i="13"/>
  <c r="I43" i="13"/>
  <c r="L42" i="13"/>
  <c r="P42" i="13" s="1"/>
  <c r="AF24" i="5" s="1"/>
  <c r="N42" i="13"/>
  <c r="AF52" i="5" s="1"/>
  <c r="N42" i="8"/>
  <c r="AF46" i="5" s="1"/>
  <c r="L42" i="8"/>
  <c r="P42" i="8" s="1"/>
  <c r="AF18" i="5" s="1"/>
  <c r="H44" i="6"/>
  <c r="M44" i="4"/>
  <c r="H44" i="9"/>
  <c r="H44" i="14"/>
  <c r="H44" i="12"/>
  <c r="H44" i="11"/>
  <c r="H44" i="15"/>
  <c r="H44" i="10"/>
  <c r="H44" i="13"/>
  <c r="H44" i="8"/>
  <c r="H44" i="3"/>
  <c r="K44" i="4"/>
  <c r="I44" i="4"/>
  <c r="H45" i="4"/>
  <c r="J43" i="4"/>
  <c r="O43" i="4" s="1"/>
  <c r="M43" i="14"/>
  <c r="K43" i="14"/>
  <c r="I43" i="14"/>
  <c r="M43" i="3"/>
  <c r="K43" i="3"/>
  <c r="I43" i="3"/>
  <c r="J42" i="6"/>
  <c r="O42" i="6" s="1"/>
  <c r="O46" i="1"/>
  <c r="L46" i="1"/>
  <c r="J42" i="14"/>
  <c r="O42" i="14" s="1"/>
  <c r="Q41" i="6"/>
  <c r="Q41" i="10"/>
  <c r="R41" i="12"/>
  <c r="J42" i="9"/>
  <c r="O42" i="9" s="1"/>
  <c r="J42" i="12"/>
  <c r="O42" i="12" s="1"/>
  <c r="Q41" i="8"/>
  <c r="R42" i="6" l="1"/>
  <c r="Q45" i="1"/>
  <c r="R45" i="1"/>
  <c r="Q43" i="4"/>
  <c r="N46" i="1"/>
  <c r="R42" i="3"/>
  <c r="Q42" i="11"/>
  <c r="R42" i="11"/>
  <c r="Q42" i="3"/>
  <c r="Q42" i="13"/>
  <c r="Q42" i="15"/>
  <c r="R42" i="15"/>
  <c r="Q42" i="6"/>
  <c r="Q42" i="10"/>
  <c r="R42" i="10"/>
  <c r="R43" i="4"/>
  <c r="N43" i="13"/>
  <c r="AE52" i="5" s="1"/>
  <c r="L43" i="13"/>
  <c r="P43" i="13" s="1"/>
  <c r="AE24" i="5" s="1"/>
  <c r="O47" i="1"/>
  <c r="L47" i="1"/>
  <c r="N43" i="6"/>
  <c r="AE50" i="5" s="1"/>
  <c r="L43" i="6"/>
  <c r="P43" i="6" s="1"/>
  <c r="AE22" i="5" s="1"/>
  <c r="L43" i="11"/>
  <c r="P43" i="11" s="1"/>
  <c r="AE21" i="5" s="1"/>
  <c r="N43" i="11"/>
  <c r="AE49" i="5" s="1"/>
  <c r="L43" i="10"/>
  <c r="P43" i="10" s="1"/>
  <c r="AE20" i="5" s="1"/>
  <c r="N43" i="10"/>
  <c r="AE48" i="5" s="1"/>
  <c r="N43" i="12"/>
  <c r="AE51" i="5" s="1"/>
  <c r="L43" i="12"/>
  <c r="P43" i="12" s="1"/>
  <c r="AE23" i="5" s="1"/>
  <c r="Q42" i="12"/>
  <c r="Q42" i="14"/>
  <c r="N43" i="15"/>
  <c r="AE54" i="5" s="1"/>
  <c r="L43" i="15"/>
  <c r="P43" i="15" s="1"/>
  <c r="AE26" i="5" s="1"/>
  <c r="N43" i="8"/>
  <c r="AE46" i="5" s="1"/>
  <c r="L43" i="8"/>
  <c r="P43" i="8" s="1"/>
  <c r="AE18" i="5" s="1"/>
  <c r="L43" i="9"/>
  <c r="P43" i="9" s="1"/>
  <c r="AE19" i="5" s="1"/>
  <c r="N43" i="9"/>
  <c r="AE47" i="5" s="1"/>
  <c r="M44" i="14"/>
  <c r="K44" i="14"/>
  <c r="I44" i="14"/>
  <c r="J44" i="14" s="1"/>
  <c r="O44" i="14" s="1"/>
  <c r="M44" i="8"/>
  <c r="K44" i="8"/>
  <c r="I44" i="8"/>
  <c r="J44" i="8" s="1"/>
  <c r="O44" i="8" s="1"/>
  <c r="R42" i="12"/>
  <c r="L43" i="14"/>
  <c r="P43" i="14" s="1"/>
  <c r="AE25" i="5" s="1"/>
  <c r="N43" i="14"/>
  <c r="AE53" i="5" s="1"/>
  <c r="M45" i="4"/>
  <c r="H45" i="13"/>
  <c r="H45" i="9"/>
  <c r="H45" i="11"/>
  <c r="H45" i="10"/>
  <c r="H45" i="8"/>
  <c r="H45" i="14"/>
  <c r="H45" i="12"/>
  <c r="H45" i="6"/>
  <c r="H45" i="3"/>
  <c r="H45" i="15"/>
  <c r="K45" i="4"/>
  <c r="I45" i="4"/>
  <c r="J45" i="4" s="1"/>
  <c r="O45" i="4" s="1"/>
  <c r="H46" i="4"/>
  <c r="M44" i="11"/>
  <c r="K44" i="11"/>
  <c r="I44" i="11"/>
  <c r="J44" i="11" s="1"/>
  <c r="O44" i="11" s="1"/>
  <c r="M44" i="9"/>
  <c r="K44" i="9"/>
  <c r="I44" i="9"/>
  <c r="J44" i="9" s="1"/>
  <c r="O44" i="9" s="1"/>
  <c r="N44" i="4"/>
  <c r="AD55" i="5" s="1"/>
  <c r="L44" i="4"/>
  <c r="P44" i="4" s="1"/>
  <c r="AD27" i="5" s="1"/>
  <c r="M44" i="13"/>
  <c r="K44" i="13"/>
  <c r="I44" i="13"/>
  <c r="J44" i="13" s="1"/>
  <c r="O44" i="13" s="1"/>
  <c r="M44" i="12"/>
  <c r="K44" i="12"/>
  <c r="I44" i="12"/>
  <c r="J44" i="12" s="1"/>
  <c r="O44" i="12" s="1"/>
  <c r="J47" i="1"/>
  <c r="P47" i="1" s="1"/>
  <c r="J43" i="6"/>
  <c r="O43" i="6" s="1"/>
  <c r="J43" i="11"/>
  <c r="O43" i="11" s="1"/>
  <c r="J43" i="10"/>
  <c r="O43" i="10" s="1"/>
  <c r="J43" i="12"/>
  <c r="O43" i="12" s="1"/>
  <c r="Q42" i="9"/>
  <c r="J43" i="15"/>
  <c r="O43" i="15" s="1"/>
  <c r="J43" i="8"/>
  <c r="O43" i="8" s="1"/>
  <c r="Q42" i="8"/>
  <c r="L43" i="3"/>
  <c r="P43" i="3" s="1"/>
  <c r="AE17" i="5" s="1"/>
  <c r="N43" i="3"/>
  <c r="AE45" i="5" s="1"/>
  <c r="M44" i="3"/>
  <c r="K44" i="3"/>
  <c r="I44" i="3"/>
  <c r="J44" i="3" s="1"/>
  <c r="O44" i="3" s="1"/>
  <c r="M44" i="15"/>
  <c r="K44" i="15"/>
  <c r="I44" i="15"/>
  <c r="J44" i="15" s="1"/>
  <c r="O44" i="15" s="1"/>
  <c r="J43" i="3"/>
  <c r="O43" i="3" s="1"/>
  <c r="J43" i="14"/>
  <c r="O43" i="14" s="1"/>
  <c r="M44" i="10"/>
  <c r="K44" i="10"/>
  <c r="I44" i="10"/>
  <c r="J44" i="10" s="1"/>
  <c r="O44" i="10" s="1"/>
  <c r="J44" i="4"/>
  <c r="O44" i="4" s="1"/>
  <c r="M44" i="6"/>
  <c r="K44" i="6"/>
  <c r="I44" i="6"/>
  <c r="J44" i="6" s="1"/>
  <c r="O44" i="6" s="1"/>
  <c r="R42" i="13"/>
  <c r="J43" i="13"/>
  <c r="O43" i="13" s="1"/>
  <c r="M48" i="1"/>
  <c r="K48" i="1"/>
  <c r="I48" i="1"/>
  <c r="J48" i="1" s="1"/>
  <c r="P48" i="1" s="1"/>
  <c r="H49" i="1"/>
  <c r="Q43" i="6"/>
  <c r="R42" i="9"/>
  <c r="R42" i="14"/>
  <c r="J43" i="9"/>
  <c r="O43" i="9" s="1"/>
  <c r="R42" i="8"/>
  <c r="R46" i="1" l="1"/>
  <c r="Q46" i="1"/>
  <c r="N47" i="1"/>
  <c r="Q43" i="13"/>
  <c r="R43" i="6"/>
  <c r="R43" i="13"/>
  <c r="Q43" i="8"/>
  <c r="Q43" i="12"/>
  <c r="R43" i="12"/>
  <c r="R43" i="9"/>
  <c r="Q43" i="9"/>
  <c r="R43" i="15"/>
  <c r="R43" i="14"/>
  <c r="R43" i="11"/>
  <c r="R43" i="8"/>
  <c r="Q43" i="11"/>
  <c r="Q43" i="10"/>
  <c r="R43" i="10"/>
  <c r="Q43" i="15"/>
  <c r="Q43" i="14"/>
  <c r="N44" i="10"/>
  <c r="AD48" i="5" s="1"/>
  <c r="L44" i="10"/>
  <c r="P44" i="10" s="1"/>
  <c r="AD20" i="5" s="1"/>
  <c r="Q43" i="3"/>
  <c r="M45" i="15"/>
  <c r="K45" i="15"/>
  <c r="I45" i="15"/>
  <c r="M45" i="14"/>
  <c r="K45" i="14"/>
  <c r="I45" i="14"/>
  <c r="J45" i="14" s="1"/>
  <c r="O45" i="14" s="1"/>
  <c r="M45" i="11"/>
  <c r="K45" i="11"/>
  <c r="I45" i="11"/>
  <c r="J45" i="11" s="1"/>
  <c r="O45" i="11" s="1"/>
  <c r="M49" i="1"/>
  <c r="K49" i="1"/>
  <c r="I49" i="1"/>
  <c r="J49" i="1" s="1"/>
  <c r="P49" i="1" s="1"/>
  <c r="H50" i="1"/>
  <c r="O48" i="1"/>
  <c r="L48" i="1"/>
  <c r="R44" i="4"/>
  <c r="N44" i="9"/>
  <c r="AD47" i="5" s="1"/>
  <c r="L44" i="9"/>
  <c r="P44" i="9" s="1"/>
  <c r="AD19" i="5" s="1"/>
  <c r="N44" i="11"/>
  <c r="AD49" i="5" s="1"/>
  <c r="L44" i="11"/>
  <c r="P44" i="11" s="1"/>
  <c r="AD21" i="5" s="1"/>
  <c r="H46" i="3"/>
  <c r="H46" i="13"/>
  <c r="H46" i="8"/>
  <c r="H46" i="12"/>
  <c r="H46" i="11"/>
  <c r="H46" i="15"/>
  <c r="H46" i="10"/>
  <c r="H46" i="6"/>
  <c r="M46" i="4"/>
  <c r="H46" i="9"/>
  <c r="H46" i="14"/>
  <c r="K46" i="4"/>
  <c r="I46" i="4"/>
  <c r="J46" i="4" s="1"/>
  <c r="O46" i="4" s="1"/>
  <c r="H47" i="4"/>
  <c r="M45" i="3"/>
  <c r="K45" i="3"/>
  <c r="I45" i="3"/>
  <c r="M45" i="8"/>
  <c r="K45" i="8"/>
  <c r="I45" i="8"/>
  <c r="J45" i="8" s="1"/>
  <c r="O45" i="8" s="1"/>
  <c r="M45" i="9"/>
  <c r="K45" i="9"/>
  <c r="I45" i="9"/>
  <c r="J45" i="9" s="1"/>
  <c r="O45" i="9" s="1"/>
  <c r="N44" i="15"/>
  <c r="AD54" i="5" s="1"/>
  <c r="L44" i="15"/>
  <c r="P44" i="15" s="1"/>
  <c r="AD26" i="5" s="1"/>
  <c r="N44" i="3"/>
  <c r="AD45" i="5" s="1"/>
  <c r="L44" i="3"/>
  <c r="P44" i="3" s="1"/>
  <c r="AD17" i="5" s="1"/>
  <c r="Q44" i="4"/>
  <c r="L45" i="4"/>
  <c r="P45" i="4" s="1"/>
  <c r="AC27" i="5" s="1"/>
  <c r="N45" i="4"/>
  <c r="AC55" i="5" s="1"/>
  <c r="M45" i="6"/>
  <c r="K45" i="6"/>
  <c r="I45" i="6"/>
  <c r="J45" i="6" s="1"/>
  <c r="O45" i="6" s="1"/>
  <c r="M45" i="10"/>
  <c r="K45" i="10"/>
  <c r="I45" i="10"/>
  <c r="J45" i="10" s="1"/>
  <c r="O45" i="10" s="1"/>
  <c r="M45" i="13"/>
  <c r="K45" i="13"/>
  <c r="I45" i="13"/>
  <c r="J45" i="13" s="1"/>
  <c r="O45" i="13" s="1"/>
  <c r="N44" i="6"/>
  <c r="AD50" i="5" s="1"/>
  <c r="L44" i="6"/>
  <c r="P44" i="6" s="1"/>
  <c r="AD22" i="5" s="1"/>
  <c r="N44" i="12"/>
  <c r="AD51" i="5" s="1"/>
  <c r="L44" i="12"/>
  <c r="P44" i="12" s="1"/>
  <c r="AD23" i="5" s="1"/>
  <c r="N44" i="13"/>
  <c r="AD52" i="5" s="1"/>
  <c r="L44" i="13"/>
  <c r="P44" i="13" s="1"/>
  <c r="AD24" i="5" s="1"/>
  <c r="R43" i="3"/>
  <c r="M45" i="12"/>
  <c r="K45" i="12"/>
  <c r="I45" i="12"/>
  <c r="N44" i="8"/>
  <c r="AD46" i="5" s="1"/>
  <c r="L44" i="8"/>
  <c r="P44" i="8" s="1"/>
  <c r="AD18" i="5" s="1"/>
  <c r="N44" i="14"/>
  <c r="AD53" i="5" s="1"/>
  <c r="L44" i="14"/>
  <c r="P44" i="14" s="1"/>
  <c r="AD25" i="5" s="1"/>
  <c r="Q47" i="1" l="1"/>
  <c r="R47" i="1"/>
  <c r="N48" i="1"/>
  <c r="Q44" i="9"/>
  <c r="R44" i="14"/>
  <c r="R45" i="4"/>
  <c r="R44" i="9"/>
  <c r="R44" i="13"/>
  <c r="Q45" i="4"/>
  <c r="R44" i="12"/>
  <c r="Q44" i="11"/>
  <c r="Q44" i="10"/>
  <c r="L45" i="12"/>
  <c r="P45" i="12" s="1"/>
  <c r="AC23" i="5" s="1"/>
  <c r="N45" i="12"/>
  <c r="AC51" i="5" s="1"/>
  <c r="L45" i="3"/>
  <c r="P45" i="3" s="1"/>
  <c r="AC17" i="5" s="1"/>
  <c r="N45" i="3"/>
  <c r="AC45" i="5" s="1"/>
  <c r="M46" i="14"/>
  <c r="K46" i="14"/>
  <c r="I46" i="14"/>
  <c r="J46" i="14" s="1"/>
  <c r="O46" i="14" s="1"/>
  <c r="M46" i="8"/>
  <c r="K46" i="8"/>
  <c r="I46" i="8"/>
  <c r="J46" i="8" s="1"/>
  <c r="O46" i="8" s="1"/>
  <c r="M50" i="1"/>
  <c r="K50" i="1"/>
  <c r="I50" i="1"/>
  <c r="J50" i="1" s="1"/>
  <c r="P50" i="1" s="1"/>
  <c r="H51" i="1"/>
  <c r="J45" i="12"/>
  <c r="O45" i="12" s="1"/>
  <c r="Q44" i="14"/>
  <c r="Q44" i="6"/>
  <c r="M46" i="11"/>
  <c r="K46" i="11"/>
  <c r="I46" i="11"/>
  <c r="J46" i="11" s="1"/>
  <c r="O46" i="11" s="1"/>
  <c r="M46" i="3"/>
  <c r="K46" i="3"/>
  <c r="I46" i="3"/>
  <c r="J46" i="3" s="1"/>
  <c r="O46" i="3" s="1"/>
  <c r="R44" i="3"/>
  <c r="N45" i="8"/>
  <c r="AC46" i="5" s="1"/>
  <c r="L45" i="8"/>
  <c r="P45" i="8" s="1"/>
  <c r="AC18" i="5" s="1"/>
  <c r="R44" i="8"/>
  <c r="Q44" i="12"/>
  <c r="R44" i="6"/>
  <c r="J45" i="3"/>
  <c r="O45" i="3" s="1"/>
  <c r="M46" i="6"/>
  <c r="K46" i="6"/>
  <c r="I46" i="6"/>
  <c r="M46" i="12"/>
  <c r="K46" i="12"/>
  <c r="I46" i="12"/>
  <c r="J46" i="12" s="1"/>
  <c r="O46" i="12" s="1"/>
  <c r="Q44" i="13"/>
  <c r="Q44" i="3"/>
  <c r="L45" i="11"/>
  <c r="P45" i="11" s="1"/>
  <c r="AC21" i="5" s="1"/>
  <c r="N45" i="11"/>
  <c r="AC49" i="5" s="1"/>
  <c r="N45" i="14"/>
  <c r="AC53" i="5" s="1"/>
  <c r="L45" i="14"/>
  <c r="P45" i="14" s="1"/>
  <c r="AC25" i="5" s="1"/>
  <c r="N45" i="15"/>
  <c r="AC54" i="5" s="1"/>
  <c r="L45" i="15"/>
  <c r="P45" i="15" s="1"/>
  <c r="AC26" i="5" s="1"/>
  <c r="R44" i="11"/>
  <c r="Q44" i="8"/>
  <c r="N45" i="9"/>
  <c r="AC47" i="5" s="1"/>
  <c r="L45" i="9"/>
  <c r="P45" i="9" s="1"/>
  <c r="AC19" i="5" s="1"/>
  <c r="H47" i="6"/>
  <c r="M47" i="4"/>
  <c r="H47" i="3"/>
  <c r="H47" i="9"/>
  <c r="H47" i="10"/>
  <c r="H47" i="15"/>
  <c r="H47" i="12"/>
  <c r="H47" i="8"/>
  <c r="H47" i="14"/>
  <c r="H47" i="13"/>
  <c r="H47" i="11"/>
  <c r="K47" i="4"/>
  <c r="I47" i="4"/>
  <c r="H48" i="4"/>
  <c r="M46" i="10"/>
  <c r="K46" i="10"/>
  <c r="I46" i="10"/>
  <c r="J46" i="10" s="1"/>
  <c r="O46" i="10" s="1"/>
  <c r="R44" i="15"/>
  <c r="N45" i="13"/>
  <c r="AC52" i="5" s="1"/>
  <c r="L45" i="13"/>
  <c r="P45" i="13" s="1"/>
  <c r="AC24" i="5" s="1"/>
  <c r="L45" i="10"/>
  <c r="P45" i="10" s="1"/>
  <c r="AC20" i="5" s="1"/>
  <c r="N45" i="10"/>
  <c r="AC48" i="5" s="1"/>
  <c r="L45" i="6"/>
  <c r="P45" i="6" s="1"/>
  <c r="AC22" i="5" s="1"/>
  <c r="N45" i="6"/>
  <c r="AC50" i="5" s="1"/>
  <c r="N46" i="4"/>
  <c r="AB55" i="5" s="1"/>
  <c r="L46" i="4"/>
  <c r="P46" i="4" s="1"/>
  <c r="AB27" i="5" s="1"/>
  <c r="M46" i="9"/>
  <c r="K46" i="9"/>
  <c r="I46" i="9"/>
  <c r="M46" i="15"/>
  <c r="K46" i="15"/>
  <c r="I46" i="15"/>
  <c r="J46" i="15" s="1"/>
  <c r="O46" i="15" s="1"/>
  <c r="M46" i="13"/>
  <c r="K46" i="13"/>
  <c r="I46" i="13"/>
  <c r="J46" i="13" s="1"/>
  <c r="O46" i="13" s="1"/>
  <c r="Q44" i="15"/>
  <c r="O49" i="1"/>
  <c r="L49" i="1"/>
  <c r="J45" i="15"/>
  <c r="O45" i="15" s="1"/>
  <c r="R44" i="10"/>
  <c r="Q48" i="1" l="1"/>
  <c r="R48" i="1"/>
  <c r="N49" i="1"/>
  <c r="R45" i="11"/>
  <c r="Q45" i="12"/>
  <c r="R45" i="14"/>
  <c r="Q45" i="10"/>
  <c r="Q45" i="3"/>
  <c r="Q45" i="6"/>
  <c r="Q45" i="11"/>
  <c r="R45" i="12"/>
  <c r="Q45" i="8"/>
  <c r="R45" i="3"/>
  <c r="M47" i="11"/>
  <c r="K47" i="11"/>
  <c r="I47" i="11"/>
  <c r="J47" i="11" s="1"/>
  <c r="O47" i="11" s="1"/>
  <c r="M47" i="12"/>
  <c r="K47" i="12"/>
  <c r="I47" i="12"/>
  <c r="J47" i="12" s="1"/>
  <c r="O47" i="12" s="1"/>
  <c r="M47" i="3"/>
  <c r="K47" i="3"/>
  <c r="I47" i="3"/>
  <c r="J47" i="3" s="1"/>
  <c r="O47" i="3" s="1"/>
  <c r="L46" i="15"/>
  <c r="P46" i="15" s="1"/>
  <c r="AB26" i="5" s="1"/>
  <c r="N46" i="15"/>
  <c r="AB54" i="5" s="1"/>
  <c r="N47" i="4"/>
  <c r="AA55" i="5" s="1"/>
  <c r="L47" i="4"/>
  <c r="P47" i="4" s="1"/>
  <c r="AA27" i="5" s="1"/>
  <c r="M47" i="14"/>
  <c r="K47" i="14"/>
  <c r="I47" i="14"/>
  <c r="M47" i="10"/>
  <c r="K47" i="10"/>
  <c r="I47" i="10"/>
  <c r="J47" i="10" s="1"/>
  <c r="O47" i="10" s="1"/>
  <c r="L46" i="12"/>
  <c r="P46" i="12" s="1"/>
  <c r="AB23" i="5" s="1"/>
  <c r="N46" i="12"/>
  <c r="AB51" i="5" s="1"/>
  <c r="L46" i="6"/>
  <c r="P46" i="6" s="1"/>
  <c r="AB22" i="5" s="1"/>
  <c r="N46" i="6"/>
  <c r="AB50" i="5" s="1"/>
  <c r="R45" i="15"/>
  <c r="N46" i="3"/>
  <c r="AB45" i="5" s="1"/>
  <c r="L46" i="3"/>
  <c r="P46" i="3" s="1"/>
  <c r="AB17" i="5" s="1"/>
  <c r="N46" i="11"/>
  <c r="AB49" i="5" s="1"/>
  <c r="L46" i="11"/>
  <c r="P46" i="11" s="1"/>
  <c r="AB21" i="5" s="1"/>
  <c r="R46" i="4"/>
  <c r="Q45" i="9"/>
  <c r="R45" i="13"/>
  <c r="O50" i="1"/>
  <c r="L50" i="1"/>
  <c r="N46" i="13"/>
  <c r="AB52" i="5" s="1"/>
  <c r="L46" i="13"/>
  <c r="P46" i="13" s="1"/>
  <c r="AB24" i="5" s="1"/>
  <c r="L46" i="9"/>
  <c r="P46" i="9" s="1"/>
  <c r="AB19" i="5" s="1"/>
  <c r="N46" i="9"/>
  <c r="AB47" i="5" s="1"/>
  <c r="Q45" i="14"/>
  <c r="M47" i="8"/>
  <c r="K47" i="8"/>
  <c r="I47" i="8"/>
  <c r="M47" i="9"/>
  <c r="K47" i="9"/>
  <c r="I47" i="9"/>
  <c r="M47" i="6"/>
  <c r="K47" i="6"/>
  <c r="I47" i="6"/>
  <c r="R45" i="10"/>
  <c r="R45" i="8"/>
  <c r="R45" i="6"/>
  <c r="Q45" i="15"/>
  <c r="Q46" i="4"/>
  <c r="R45" i="9"/>
  <c r="M51" i="1"/>
  <c r="K51" i="1"/>
  <c r="I51" i="1"/>
  <c r="J51" i="1" s="1"/>
  <c r="P51" i="1" s="1"/>
  <c r="H52" i="1"/>
  <c r="Q45" i="13"/>
  <c r="L46" i="8"/>
  <c r="P46" i="8" s="1"/>
  <c r="AB18" i="5" s="1"/>
  <c r="N46" i="8"/>
  <c r="AB46" i="5" s="1"/>
  <c r="L46" i="14"/>
  <c r="P46" i="14" s="1"/>
  <c r="AB25" i="5" s="1"/>
  <c r="N46" i="14"/>
  <c r="AB53" i="5" s="1"/>
  <c r="J46" i="9"/>
  <c r="O46" i="9" s="1"/>
  <c r="N46" i="10"/>
  <c r="AB48" i="5" s="1"/>
  <c r="L46" i="10"/>
  <c r="P46" i="10" s="1"/>
  <c r="AB20" i="5" s="1"/>
  <c r="M48" i="4"/>
  <c r="H48" i="15"/>
  <c r="H48" i="8"/>
  <c r="H48" i="12"/>
  <c r="H48" i="6"/>
  <c r="H48" i="10"/>
  <c r="H48" i="14"/>
  <c r="H48" i="13"/>
  <c r="H48" i="9"/>
  <c r="H48" i="3"/>
  <c r="H48" i="11"/>
  <c r="K48" i="4"/>
  <c r="I48" i="4"/>
  <c r="H49" i="4"/>
  <c r="M47" i="13"/>
  <c r="K47" i="13"/>
  <c r="I47" i="13"/>
  <c r="M47" i="15"/>
  <c r="K47" i="15"/>
  <c r="I47" i="15"/>
  <c r="J47" i="4"/>
  <c r="O47" i="4" s="1"/>
  <c r="J46" i="6"/>
  <c r="O46" i="6" s="1"/>
  <c r="Q49" i="1" l="1"/>
  <c r="R49" i="1"/>
  <c r="N50" i="1"/>
  <c r="R46" i="3"/>
  <c r="Q46" i="15"/>
  <c r="R46" i="15"/>
  <c r="R46" i="9"/>
  <c r="Q47" i="4"/>
  <c r="R46" i="11"/>
  <c r="R46" i="12"/>
  <c r="Q46" i="13"/>
  <c r="R47" i="4"/>
  <c r="Q46" i="11"/>
  <c r="Q46" i="12"/>
  <c r="R46" i="13"/>
  <c r="R46" i="14"/>
  <c r="Q46" i="3"/>
  <c r="Q46" i="14"/>
  <c r="Q46" i="9"/>
  <c r="Q46" i="6"/>
  <c r="N47" i="15"/>
  <c r="AA54" i="5" s="1"/>
  <c r="L47" i="15"/>
  <c r="P47" i="15" s="1"/>
  <c r="AA26" i="5" s="1"/>
  <c r="M48" i="11"/>
  <c r="K48" i="11"/>
  <c r="I48" i="11"/>
  <c r="J48" i="11" s="1"/>
  <c r="O48" i="11" s="1"/>
  <c r="M48" i="14"/>
  <c r="K48" i="14"/>
  <c r="I48" i="14"/>
  <c r="J48" i="14" s="1"/>
  <c r="O48" i="14" s="1"/>
  <c r="M48" i="8"/>
  <c r="K48" i="8"/>
  <c r="I48" i="8"/>
  <c r="J48" i="8" s="1"/>
  <c r="O48" i="8" s="1"/>
  <c r="L47" i="6"/>
  <c r="P47" i="6" s="1"/>
  <c r="AA22" i="5" s="1"/>
  <c r="N47" i="6"/>
  <c r="AA50" i="5" s="1"/>
  <c r="N47" i="9"/>
  <c r="AA47" i="5" s="1"/>
  <c r="L47" i="9"/>
  <c r="P47" i="9" s="1"/>
  <c r="AA19" i="5" s="1"/>
  <c r="N47" i="8"/>
  <c r="AA46" i="5" s="1"/>
  <c r="L47" i="8"/>
  <c r="P47" i="8" s="1"/>
  <c r="AA18" i="5" s="1"/>
  <c r="M52" i="1"/>
  <c r="K52" i="1"/>
  <c r="I52" i="1"/>
  <c r="H53" i="1"/>
  <c r="N47" i="10"/>
  <c r="AA48" i="5" s="1"/>
  <c r="L47" i="10"/>
  <c r="P47" i="10" s="1"/>
  <c r="AA20" i="5" s="1"/>
  <c r="L47" i="14"/>
  <c r="P47" i="14" s="1"/>
  <c r="AA25" i="5" s="1"/>
  <c r="N47" i="14"/>
  <c r="AA53" i="5" s="1"/>
  <c r="N47" i="13"/>
  <c r="AA52" i="5" s="1"/>
  <c r="L47" i="13"/>
  <c r="P47" i="13" s="1"/>
  <c r="AA24" i="5" s="1"/>
  <c r="M48" i="3"/>
  <c r="K48" i="3"/>
  <c r="I48" i="3"/>
  <c r="J48" i="3" s="1"/>
  <c r="O48" i="3" s="1"/>
  <c r="M48" i="15"/>
  <c r="K48" i="15"/>
  <c r="I48" i="15"/>
  <c r="J48" i="15" s="1"/>
  <c r="O48" i="15" s="1"/>
  <c r="M48" i="9"/>
  <c r="K48" i="9"/>
  <c r="I48" i="9"/>
  <c r="J48" i="9" s="1"/>
  <c r="O48" i="9" s="1"/>
  <c r="M48" i="6"/>
  <c r="K48" i="6"/>
  <c r="I48" i="6"/>
  <c r="J48" i="6" s="1"/>
  <c r="O48" i="6" s="1"/>
  <c r="L51" i="1"/>
  <c r="O51" i="1"/>
  <c r="J47" i="9"/>
  <c r="O47" i="9" s="1"/>
  <c r="J47" i="8"/>
  <c r="O47" i="8" s="1"/>
  <c r="Q46" i="8"/>
  <c r="N47" i="3"/>
  <c r="AA45" i="5" s="1"/>
  <c r="L47" i="3"/>
  <c r="P47" i="3" s="1"/>
  <c r="AA17" i="5" s="1"/>
  <c r="L47" i="12"/>
  <c r="P47" i="12" s="1"/>
  <c r="AA23" i="5" s="1"/>
  <c r="N47" i="12"/>
  <c r="AA51" i="5" s="1"/>
  <c r="N47" i="11"/>
  <c r="AA49" i="5" s="1"/>
  <c r="L47" i="11"/>
  <c r="P47" i="11" s="1"/>
  <c r="AA21" i="5" s="1"/>
  <c r="R46" i="10"/>
  <c r="H49" i="15"/>
  <c r="H49" i="11"/>
  <c r="M49" i="4"/>
  <c r="H49" i="12"/>
  <c r="H49" i="13"/>
  <c r="H49" i="10"/>
  <c r="H49" i="9"/>
  <c r="H49" i="6"/>
  <c r="H49" i="3"/>
  <c r="H49" i="8"/>
  <c r="H49" i="14"/>
  <c r="K49" i="4"/>
  <c r="I49" i="4"/>
  <c r="J49" i="4" s="1"/>
  <c r="O49" i="4" s="1"/>
  <c r="H50" i="4"/>
  <c r="N48" i="4"/>
  <c r="Z55" i="5" s="1"/>
  <c r="L48" i="4"/>
  <c r="P48" i="4" s="1"/>
  <c r="Z27" i="5" s="1"/>
  <c r="M48" i="10"/>
  <c r="K48" i="10"/>
  <c r="I48" i="10"/>
  <c r="J48" i="10" s="1"/>
  <c r="O48" i="10" s="1"/>
  <c r="J47" i="15"/>
  <c r="O47" i="15" s="1"/>
  <c r="J47" i="13"/>
  <c r="O47" i="13" s="1"/>
  <c r="J48" i="4"/>
  <c r="O48" i="4" s="1"/>
  <c r="M48" i="13"/>
  <c r="K48" i="13"/>
  <c r="I48" i="13"/>
  <c r="J48" i="13" s="1"/>
  <c r="O48" i="13" s="1"/>
  <c r="M48" i="12"/>
  <c r="K48" i="12"/>
  <c r="I48" i="12"/>
  <c r="J47" i="6"/>
  <c r="O47" i="6" s="1"/>
  <c r="R46" i="6"/>
  <c r="R46" i="8"/>
  <c r="J47" i="14"/>
  <c r="O47" i="14" s="1"/>
  <c r="Q46" i="10"/>
  <c r="R47" i="8" l="1"/>
  <c r="R50" i="1"/>
  <c r="Q50" i="1"/>
  <c r="N51" i="1"/>
  <c r="R47" i="6"/>
  <c r="Q47" i="6"/>
  <c r="R47" i="10"/>
  <c r="R47" i="13"/>
  <c r="Q47" i="10"/>
  <c r="Q47" i="9"/>
  <c r="Q47" i="13"/>
  <c r="R47" i="9"/>
  <c r="Q47" i="8"/>
  <c r="R47" i="15"/>
  <c r="Q47" i="15"/>
  <c r="N48" i="12"/>
  <c r="Z51" i="5" s="1"/>
  <c r="L48" i="12"/>
  <c r="P48" i="12" s="1"/>
  <c r="Z23" i="5" s="1"/>
  <c r="M50" i="4"/>
  <c r="H50" i="12"/>
  <c r="H50" i="14"/>
  <c r="H50" i="10"/>
  <c r="H50" i="11"/>
  <c r="H50" i="6"/>
  <c r="H50" i="3"/>
  <c r="H50" i="13"/>
  <c r="H50" i="9"/>
  <c r="H50" i="15"/>
  <c r="H50" i="8"/>
  <c r="K50" i="4"/>
  <c r="I50" i="4"/>
  <c r="H51" i="4"/>
  <c r="M49" i="8"/>
  <c r="K49" i="8"/>
  <c r="I49" i="8"/>
  <c r="J49" i="8" s="1"/>
  <c r="O49" i="8" s="1"/>
  <c r="M49" i="10"/>
  <c r="K49" i="10"/>
  <c r="I49" i="10"/>
  <c r="J49" i="10" s="1"/>
  <c r="O49" i="10" s="1"/>
  <c r="Q47" i="12"/>
  <c r="O52" i="1"/>
  <c r="L52" i="1"/>
  <c r="R47" i="3"/>
  <c r="J48" i="12"/>
  <c r="O48" i="12" s="1"/>
  <c r="L49" i="4"/>
  <c r="P49" i="4" s="1"/>
  <c r="Y27" i="5" s="1"/>
  <c r="N49" i="4"/>
  <c r="Y55" i="5" s="1"/>
  <c r="M49" i="3"/>
  <c r="K49" i="3"/>
  <c r="I49" i="3"/>
  <c r="J49" i="3" s="1"/>
  <c r="O49" i="3" s="1"/>
  <c r="M49" i="13"/>
  <c r="K49" i="13"/>
  <c r="I49" i="13"/>
  <c r="J49" i="13" s="1"/>
  <c r="O49" i="13" s="1"/>
  <c r="M49" i="11"/>
  <c r="K49" i="11"/>
  <c r="I49" i="11"/>
  <c r="J49" i="11" s="1"/>
  <c r="O49" i="11" s="1"/>
  <c r="R48" i="4"/>
  <c r="Q47" i="11"/>
  <c r="Q47" i="3"/>
  <c r="R48" i="12"/>
  <c r="N48" i="10"/>
  <c r="Z48" i="5" s="1"/>
  <c r="L48" i="10"/>
  <c r="P48" i="10" s="1"/>
  <c r="Z20" i="5" s="1"/>
  <c r="M49" i="6"/>
  <c r="K49" i="6"/>
  <c r="I49" i="6"/>
  <c r="M49" i="12"/>
  <c r="K49" i="12"/>
  <c r="I49" i="12"/>
  <c r="M49" i="15"/>
  <c r="K49" i="15"/>
  <c r="I49" i="15"/>
  <c r="Q48" i="4"/>
  <c r="R47" i="11"/>
  <c r="R47" i="14"/>
  <c r="N48" i="8"/>
  <c r="Z46" i="5" s="1"/>
  <c r="L48" i="8"/>
  <c r="P48" i="8" s="1"/>
  <c r="Z18" i="5" s="1"/>
  <c r="N48" i="14"/>
  <c r="Z53" i="5" s="1"/>
  <c r="L48" i="14"/>
  <c r="P48" i="14" s="1"/>
  <c r="Z25" i="5" s="1"/>
  <c r="L48" i="11"/>
  <c r="P48" i="11" s="1"/>
  <c r="Z21" i="5" s="1"/>
  <c r="N48" i="11"/>
  <c r="Z49" i="5" s="1"/>
  <c r="N48" i="13"/>
  <c r="Z52" i="5" s="1"/>
  <c r="L48" i="13"/>
  <c r="P48" i="13" s="1"/>
  <c r="Z24" i="5" s="1"/>
  <c r="M49" i="14"/>
  <c r="K49" i="14"/>
  <c r="I49" i="14"/>
  <c r="M49" i="9"/>
  <c r="K49" i="9"/>
  <c r="I49" i="9"/>
  <c r="N48" i="6"/>
  <c r="Z50" i="5" s="1"/>
  <c r="L48" i="6"/>
  <c r="P48" i="6" s="1"/>
  <c r="Z22" i="5" s="1"/>
  <c r="N48" i="9"/>
  <c r="Z47" i="5" s="1"/>
  <c r="L48" i="9"/>
  <c r="P48" i="9" s="1"/>
  <c r="Z19" i="5" s="1"/>
  <c r="N48" i="15"/>
  <c r="Z54" i="5" s="1"/>
  <c r="L48" i="15"/>
  <c r="P48" i="15" s="1"/>
  <c r="Z26" i="5" s="1"/>
  <c r="N48" i="3"/>
  <c r="Z45" i="5" s="1"/>
  <c r="L48" i="3"/>
  <c r="P48" i="3" s="1"/>
  <c r="Z17" i="5" s="1"/>
  <c r="R47" i="12"/>
  <c r="M53" i="1"/>
  <c r="K53" i="1"/>
  <c r="I53" i="1"/>
  <c r="J53" i="1" s="1"/>
  <c r="P53" i="1" s="1"/>
  <c r="H54" i="1"/>
  <c r="J52" i="1"/>
  <c r="P52" i="1" s="1"/>
  <c r="Q47" i="14"/>
  <c r="Q49" i="4" l="1"/>
  <c r="Q51" i="1"/>
  <c r="R51" i="1"/>
  <c r="N52" i="1"/>
  <c r="R49" i="4"/>
  <c r="Q48" i="12"/>
  <c r="Q48" i="9"/>
  <c r="N49" i="15"/>
  <c r="Y54" i="5" s="1"/>
  <c r="L49" i="15"/>
  <c r="P49" i="15" s="1"/>
  <c r="Y26" i="5" s="1"/>
  <c r="N49" i="12"/>
  <c r="Y51" i="5" s="1"/>
  <c r="L49" i="12"/>
  <c r="P49" i="12" s="1"/>
  <c r="Y23" i="5" s="1"/>
  <c r="L49" i="6"/>
  <c r="P49" i="6" s="1"/>
  <c r="Y22" i="5" s="1"/>
  <c r="N49" i="6"/>
  <c r="Y50" i="5" s="1"/>
  <c r="Q48" i="3"/>
  <c r="Q48" i="10"/>
  <c r="R48" i="14"/>
  <c r="N50" i="4"/>
  <c r="X55" i="5" s="1"/>
  <c r="L50" i="4"/>
  <c r="P50" i="4" s="1"/>
  <c r="X27" i="5" s="1"/>
  <c r="M50" i="9"/>
  <c r="K50" i="9"/>
  <c r="I50" i="9"/>
  <c r="J50" i="9" s="1"/>
  <c r="O50" i="9" s="1"/>
  <c r="M50" i="11"/>
  <c r="K50" i="11"/>
  <c r="I50" i="11"/>
  <c r="J50" i="11" s="1"/>
  <c r="O50" i="11" s="1"/>
  <c r="J50" i="4"/>
  <c r="O50" i="4" s="1"/>
  <c r="M54" i="1"/>
  <c r="K54" i="1"/>
  <c r="I54" i="1"/>
  <c r="J54" i="1" s="1"/>
  <c r="P54" i="1" s="1"/>
  <c r="H55" i="1"/>
  <c r="L49" i="9"/>
  <c r="P49" i="9" s="1"/>
  <c r="Y19" i="5" s="1"/>
  <c r="N49" i="9"/>
  <c r="Y47" i="5" s="1"/>
  <c r="N49" i="14"/>
  <c r="Y53" i="5" s="1"/>
  <c r="L49" i="14"/>
  <c r="P49" i="14" s="1"/>
  <c r="Y25" i="5" s="1"/>
  <c r="Q48" i="15"/>
  <c r="R48" i="6"/>
  <c r="R48" i="10"/>
  <c r="Q48" i="11"/>
  <c r="R48" i="8"/>
  <c r="M50" i="13"/>
  <c r="K50" i="13"/>
  <c r="I50" i="13"/>
  <c r="M50" i="10"/>
  <c r="K50" i="10"/>
  <c r="I50" i="10"/>
  <c r="L53" i="1"/>
  <c r="O53" i="1"/>
  <c r="R48" i="15"/>
  <c r="Q48" i="6"/>
  <c r="J49" i="15"/>
  <c r="O49" i="15" s="1"/>
  <c r="N49" i="11"/>
  <c r="Y49" i="5" s="1"/>
  <c r="L49" i="11"/>
  <c r="P49" i="11" s="1"/>
  <c r="Y21" i="5" s="1"/>
  <c r="N49" i="13"/>
  <c r="Y52" i="5" s="1"/>
  <c r="L49" i="13"/>
  <c r="P49" i="13" s="1"/>
  <c r="Y24" i="5" s="1"/>
  <c r="N49" i="3"/>
  <c r="Y45" i="5" s="1"/>
  <c r="L49" i="3"/>
  <c r="P49" i="3" s="1"/>
  <c r="Y17" i="5" s="1"/>
  <c r="Q48" i="13"/>
  <c r="R48" i="11"/>
  <c r="Q48" i="8"/>
  <c r="M50" i="8"/>
  <c r="K50" i="8"/>
  <c r="I50" i="8"/>
  <c r="M50" i="3"/>
  <c r="K50" i="3"/>
  <c r="I50" i="3"/>
  <c r="M50" i="14"/>
  <c r="K50" i="14"/>
  <c r="I50" i="14"/>
  <c r="J49" i="9"/>
  <c r="O49" i="9" s="1"/>
  <c r="J49" i="14"/>
  <c r="O49" i="14" s="1"/>
  <c r="R48" i="9"/>
  <c r="J49" i="12"/>
  <c r="O49" i="12" s="1"/>
  <c r="J49" i="6"/>
  <c r="O49" i="6" s="1"/>
  <c r="R48" i="3"/>
  <c r="R48" i="13"/>
  <c r="Q48" i="14"/>
  <c r="L49" i="10"/>
  <c r="P49" i="10" s="1"/>
  <c r="Y20" i="5" s="1"/>
  <c r="N49" i="10"/>
  <c r="Y48" i="5" s="1"/>
  <c r="L49" i="8"/>
  <c r="P49" i="8" s="1"/>
  <c r="Y18" i="5" s="1"/>
  <c r="N49" i="8"/>
  <c r="Y46" i="5" s="1"/>
  <c r="M51" i="4"/>
  <c r="H51" i="14"/>
  <c r="H51" i="10"/>
  <c r="H51" i="3"/>
  <c r="H51" i="15"/>
  <c r="H51" i="13"/>
  <c r="H51" i="12"/>
  <c r="H51" i="9"/>
  <c r="H51" i="11"/>
  <c r="H51" i="6"/>
  <c r="H51" i="8"/>
  <c r="K51" i="4"/>
  <c r="I51" i="4"/>
  <c r="H52" i="4"/>
  <c r="M50" i="15"/>
  <c r="K50" i="15"/>
  <c r="I50" i="15"/>
  <c r="J50" i="15" s="1"/>
  <c r="O50" i="15" s="1"/>
  <c r="M50" i="6"/>
  <c r="K50" i="6"/>
  <c r="I50" i="6"/>
  <c r="J50" i="6" s="1"/>
  <c r="O50" i="6" s="1"/>
  <c r="M50" i="12"/>
  <c r="K50" i="12"/>
  <c r="I50" i="12"/>
  <c r="R52" i="1" l="1"/>
  <c r="Q52" i="1"/>
  <c r="N53" i="1"/>
  <c r="Q49" i="15"/>
  <c r="R49" i="9"/>
  <c r="Q49" i="9"/>
  <c r="R49" i="12"/>
  <c r="R50" i="4"/>
  <c r="Q49" i="12"/>
  <c r="Q50" i="4"/>
  <c r="R49" i="6"/>
  <c r="Q49" i="6"/>
  <c r="R49" i="14"/>
  <c r="Q49" i="14"/>
  <c r="R49" i="15"/>
  <c r="M51" i="12"/>
  <c r="K51" i="12"/>
  <c r="I51" i="12"/>
  <c r="N50" i="14"/>
  <c r="X53" i="5" s="1"/>
  <c r="L50" i="14"/>
  <c r="P50" i="14" s="1"/>
  <c r="X25" i="5" s="1"/>
  <c r="L50" i="3"/>
  <c r="P50" i="3" s="1"/>
  <c r="X17" i="5" s="1"/>
  <c r="N50" i="3"/>
  <c r="X45" i="5" s="1"/>
  <c r="L50" i="8"/>
  <c r="P50" i="8" s="1"/>
  <c r="X18" i="5" s="1"/>
  <c r="N50" i="8"/>
  <c r="X46" i="5" s="1"/>
  <c r="R49" i="10"/>
  <c r="N50" i="10"/>
  <c r="X48" i="5" s="1"/>
  <c r="L50" i="10"/>
  <c r="P50" i="10" s="1"/>
  <c r="X20" i="5" s="1"/>
  <c r="N50" i="13"/>
  <c r="X52" i="5" s="1"/>
  <c r="L50" i="13"/>
  <c r="P50" i="13" s="1"/>
  <c r="X24" i="5" s="1"/>
  <c r="Q49" i="8"/>
  <c r="R49" i="3"/>
  <c r="Q49" i="11"/>
  <c r="M51" i="8"/>
  <c r="K51" i="8"/>
  <c r="I51" i="8"/>
  <c r="M51" i="10"/>
  <c r="K51" i="10"/>
  <c r="I51" i="10"/>
  <c r="J51" i="10" s="1"/>
  <c r="O51" i="10" s="1"/>
  <c r="N50" i="15"/>
  <c r="X54" i="5" s="1"/>
  <c r="L50" i="15"/>
  <c r="P50" i="15" s="1"/>
  <c r="X26" i="5" s="1"/>
  <c r="H52" i="14"/>
  <c r="H52" i="3"/>
  <c r="H52" i="9"/>
  <c r="H52" i="10"/>
  <c r="M52" i="4"/>
  <c r="H52" i="6"/>
  <c r="H52" i="12"/>
  <c r="H52" i="11"/>
  <c r="H52" i="13"/>
  <c r="H52" i="8"/>
  <c r="H52" i="15"/>
  <c r="K52" i="4"/>
  <c r="I52" i="4"/>
  <c r="H53" i="4"/>
  <c r="M51" i="6"/>
  <c r="K51" i="6"/>
  <c r="I51" i="6"/>
  <c r="M51" i="13"/>
  <c r="K51" i="13"/>
  <c r="I51" i="13"/>
  <c r="M51" i="14"/>
  <c r="K51" i="14"/>
  <c r="I51" i="14"/>
  <c r="Q49" i="10"/>
  <c r="R49" i="8"/>
  <c r="M55" i="1"/>
  <c r="K55" i="1"/>
  <c r="I55" i="1"/>
  <c r="J55" i="1" s="1"/>
  <c r="P55" i="1" s="1"/>
  <c r="H56" i="1"/>
  <c r="R49" i="13"/>
  <c r="N50" i="6"/>
  <c r="X50" i="5" s="1"/>
  <c r="L50" i="6"/>
  <c r="P50" i="6" s="1"/>
  <c r="X22" i="5" s="1"/>
  <c r="L51" i="4"/>
  <c r="P51" i="4" s="1"/>
  <c r="W27" i="5" s="1"/>
  <c r="N51" i="4"/>
  <c r="W55" i="5" s="1"/>
  <c r="M51" i="11"/>
  <c r="K51" i="11"/>
  <c r="I51" i="11"/>
  <c r="M51" i="15"/>
  <c r="K51" i="15"/>
  <c r="I51" i="15"/>
  <c r="J51" i="4"/>
  <c r="O51" i="4" s="1"/>
  <c r="J50" i="3"/>
  <c r="O50" i="3" s="1"/>
  <c r="J50" i="13"/>
  <c r="O50" i="13" s="1"/>
  <c r="O54" i="1"/>
  <c r="L54" i="1"/>
  <c r="Q49" i="13"/>
  <c r="L50" i="12"/>
  <c r="P50" i="12" s="1"/>
  <c r="X23" i="5" s="1"/>
  <c r="N50" i="12"/>
  <c r="X51" i="5" s="1"/>
  <c r="J50" i="12"/>
  <c r="O50" i="12" s="1"/>
  <c r="M51" i="9"/>
  <c r="K51" i="9"/>
  <c r="I51" i="9"/>
  <c r="J51" i="9" s="1"/>
  <c r="O51" i="9" s="1"/>
  <c r="M51" i="3"/>
  <c r="K51" i="3"/>
  <c r="I51" i="3"/>
  <c r="J50" i="14"/>
  <c r="O50" i="14" s="1"/>
  <c r="J50" i="8"/>
  <c r="O50" i="8" s="1"/>
  <c r="J50" i="10"/>
  <c r="O50" i="10" s="1"/>
  <c r="N50" i="11"/>
  <c r="X49" i="5" s="1"/>
  <c r="L50" i="11"/>
  <c r="P50" i="11" s="1"/>
  <c r="X21" i="5" s="1"/>
  <c r="L50" i="9"/>
  <c r="P50" i="9" s="1"/>
  <c r="X19" i="5" s="1"/>
  <c r="N50" i="9"/>
  <c r="X47" i="5" s="1"/>
  <c r="Q49" i="3"/>
  <c r="R49" i="11"/>
  <c r="Q53" i="1" l="1"/>
  <c r="R53" i="1"/>
  <c r="N54" i="1"/>
  <c r="R50" i="13"/>
  <c r="Q50" i="10"/>
  <c r="R50" i="3"/>
  <c r="Q50" i="15"/>
  <c r="Q50" i="6"/>
  <c r="R50" i="10"/>
  <c r="Q50" i="8"/>
  <c r="R50" i="8"/>
  <c r="R50" i="14"/>
  <c r="R51" i="4"/>
  <c r="R50" i="12"/>
  <c r="R50" i="15"/>
  <c r="Q50" i="13"/>
  <c r="Q50" i="3"/>
  <c r="R50" i="6"/>
  <c r="Q50" i="9"/>
  <c r="Q50" i="12"/>
  <c r="Q50" i="14"/>
  <c r="N51" i="15"/>
  <c r="W54" i="5" s="1"/>
  <c r="L51" i="15"/>
  <c r="P51" i="15" s="1"/>
  <c r="W26" i="5" s="1"/>
  <c r="N51" i="11"/>
  <c r="W49" i="5" s="1"/>
  <c r="L51" i="11"/>
  <c r="P51" i="11" s="1"/>
  <c r="W21" i="5" s="1"/>
  <c r="L51" i="14"/>
  <c r="P51" i="14" s="1"/>
  <c r="W25" i="5" s="1"/>
  <c r="N51" i="14"/>
  <c r="W53" i="5" s="1"/>
  <c r="L51" i="13"/>
  <c r="P51" i="13" s="1"/>
  <c r="W24" i="5" s="1"/>
  <c r="N51" i="13"/>
  <c r="W52" i="5" s="1"/>
  <c r="N51" i="6"/>
  <c r="W50" i="5" s="1"/>
  <c r="L51" i="6"/>
  <c r="P51" i="6" s="1"/>
  <c r="W22" i="5" s="1"/>
  <c r="M53" i="4"/>
  <c r="H53" i="14"/>
  <c r="H53" i="11"/>
  <c r="H53" i="13"/>
  <c r="H53" i="8"/>
  <c r="H53" i="12"/>
  <c r="H53" i="9"/>
  <c r="H53" i="10"/>
  <c r="H53" i="6"/>
  <c r="H53" i="15"/>
  <c r="H53" i="3"/>
  <c r="K53" i="4"/>
  <c r="I53" i="4"/>
  <c r="H54" i="4"/>
  <c r="M52" i="8"/>
  <c r="K52" i="8"/>
  <c r="I52" i="8"/>
  <c r="M52" i="6"/>
  <c r="K52" i="6"/>
  <c r="I52" i="6"/>
  <c r="M52" i="9"/>
  <c r="K52" i="9"/>
  <c r="I52" i="9"/>
  <c r="N51" i="12"/>
  <c r="W51" i="5" s="1"/>
  <c r="L51" i="12"/>
  <c r="P51" i="12" s="1"/>
  <c r="W23" i="5" s="1"/>
  <c r="Q50" i="11"/>
  <c r="M56" i="1"/>
  <c r="K56" i="1"/>
  <c r="I56" i="1"/>
  <c r="J56" i="1" s="1"/>
  <c r="P56" i="1" s="1"/>
  <c r="H57" i="1"/>
  <c r="N52" i="4"/>
  <c r="V55" i="5" s="1"/>
  <c r="L52" i="4"/>
  <c r="P52" i="4" s="1"/>
  <c r="V27" i="5" s="1"/>
  <c r="M52" i="13"/>
  <c r="K52" i="13"/>
  <c r="I52" i="13"/>
  <c r="J52" i="13" s="1"/>
  <c r="O52" i="13" s="1"/>
  <c r="M52" i="3"/>
  <c r="K52" i="3"/>
  <c r="I52" i="3"/>
  <c r="N51" i="10"/>
  <c r="W48" i="5" s="1"/>
  <c r="L51" i="10"/>
  <c r="P51" i="10" s="1"/>
  <c r="W20" i="5" s="1"/>
  <c r="L51" i="8"/>
  <c r="P51" i="8" s="1"/>
  <c r="W18" i="5" s="1"/>
  <c r="N51" i="8"/>
  <c r="W46" i="5" s="1"/>
  <c r="L51" i="9"/>
  <c r="P51" i="9" s="1"/>
  <c r="W19" i="5" s="1"/>
  <c r="N51" i="9"/>
  <c r="W47" i="5" s="1"/>
  <c r="R50" i="11"/>
  <c r="O55" i="1"/>
  <c r="L55" i="1"/>
  <c r="J51" i="14"/>
  <c r="O51" i="14" s="1"/>
  <c r="J51" i="6"/>
  <c r="O51" i="6" s="1"/>
  <c r="M52" i="11"/>
  <c r="K52" i="11"/>
  <c r="I52" i="11"/>
  <c r="J52" i="11" s="1"/>
  <c r="O52" i="11" s="1"/>
  <c r="M52" i="10"/>
  <c r="K52" i="10"/>
  <c r="I52" i="10"/>
  <c r="J52" i="10" s="1"/>
  <c r="O52" i="10" s="1"/>
  <c r="M52" i="14"/>
  <c r="K52" i="14"/>
  <c r="I52" i="14"/>
  <c r="J52" i="14" s="1"/>
  <c r="O52" i="14" s="1"/>
  <c r="J51" i="12"/>
  <c r="O51" i="12" s="1"/>
  <c r="L51" i="3"/>
  <c r="P51" i="3" s="1"/>
  <c r="W17" i="5" s="1"/>
  <c r="N51" i="3"/>
  <c r="W45" i="5" s="1"/>
  <c r="Q51" i="4"/>
  <c r="J51" i="3"/>
  <c r="O51" i="3" s="1"/>
  <c r="R50" i="9"/>
  <c r="J51" i="15"/>
  <c r="O51" i="15" s="1"/>
  <c r="J51" i="11"/>
  <c r="O51" i="11" s="1"/>
  <c r="J51" i="13"/>
  <c r="O51" i="13" s="1"/>
  <c r="M52" i="15"/>
  <c r="K52" i="15"/>
  <c r="I52" i="15"/>
  <c r="M52" i="12"/>
  <c r="K52" i="12"/>
  <c r="I52" i="12"/>
  <c r="J52" i="4"/>
  <c r="O52" i="4" s="1"/>
  <c r="J51" i="8"/>
  <c r="O51" i="8" s="1"/>
  <c r="R51" i="11" l="1"/>
  <c r="Q54" i="1"/>
  <c r="R54" i="1"/>
  <c r="N55" i="1"/>
  <c r="Q51" i="14"/>
  <c r="Q51" i="13"/>
  <c r="Q51" i="6"/>
  <c r="R51" i="6"/>
  <c r="R52" i="4"/>
  <c r="R51" i="15"/>
  <c r="Q52" i="4"/>
  <c r="R51" i="10"/>
  <c r="R51" i="14"/>
  <c r="Q51" i="15"/>
  <c r="Q51" i="9"/>
  <c r="R51" i="12"/>
  <c r="R51" i="13"/>
  <c r="Q51" i="12"/>
  <c r="Q51" i="11"/>
  <c r="Q51" i="10"/>
  <c r="R51" i="9"/>
  <c r="N52" i="15"/>
  <c r="V54" i="5" s="1"/>
  <c r="L52" i="15"/>
  <c r="P52" i="15" s="1"/>
  <c r="V26" i="5" s="1"/>
  <c r="L52" i="3"/>
  <c r="P52" i="3" s="1"/>
  <c r="V17" i="5" s="1"/>
  <c r="N52" i="3"/>
  <c r="V45" i="5" s="1"/>
  <c r="N52" i="9"/>
  <c r="V47" i="5" s="1"/>
  <c r="L52" i="9"/>
  <c r="P52" i="9" s="1"/>
  <c r="V19" i="5" s="1"/>
  <c r="N52" i="6"/>
  <c r="V50" i="5" s="1"/>
  <c r="L52" i="6"/>
  <c r="P52" i="6" s="1"/>
  <c r="V22" i="5" s="1"/>
  <c r="N52" i="8"/>
  <c r="V46" i="5" s="1"/>
  <c r="L52" i="8"/>
  <c r="P52" i="8" s="1"/>
  <c r="V18" i="5" s="1"/>
  <c r="H54" i="11"/>
  <c r="M54" i="4"/>
  <c r="H54" i="8"/>
  <c r="H54" i="13"/>
  <c r="H54" i="3"/>
  <c r="H54" i="10"/>
  <c r="H54" i="9"/>
  <c r="H54" i="12"/>
  <c r="H54" i="15"/>
  <c r="H54" i="6"/>
  <c r="H54" i="14"/>
  <c r="K54" i="4"/>
  <c r="I54" i="4"/>
  <c r="H55" i="4"/>
  <c r="M53" i="15"/>
  <c r="K53" i="15"/>
  <c r="I53" i="15"/>
  <c r="J53" i="15" s="1"/>
  <c r="O53" i="15" s="1"/>
  <c r="M53" i="9"/>
  <c r="K53" i="9"/>
  <c r="I53" i="9"/>
  <c r="J53" i="9" s="1"/>
  <c r="O53" i="9" s="1"/>
  <c r="M53" i="11"/>
  <c r="K53" i="11"/>
  <c r="I53" i="11"/>
  <c r="J53" i="11" s="1"/>
  <c r="O53" i="11" s="1"/>
  <c r="L53" i="4"/>
  <c r="P53" i="4" s="1"/>
  <c r="U27" i="5" s="1"/>
  <c r="N53" i="4"/>
  <c r="U55" i="5" s="1"/>
  <c r="M53" i="6"/>
  <c r="K53" i="6"/>
  <c r="I53" i="6"/>
  <c r="J53" i="6" s="1"/>
  <c r="O53" i="6" s="1"/>
  <c r="M53" i="12"/>
  <c r="K53" i="12"/>
  <c r="I53" i="12"/>
  <c r="J53" i="12" s="1"/>
  <c r="O53" i="12" s="1"/>
  <c r="M53" i="14"/>
  <c r="K53" i="14"/>
  <c r="I53" i="14"/>
  <c r="J53" i="14" s="1"/>
  <c r="O53" i="14" s="1"/>
  <c r="J52" i="15"/>
  <c r="O52" i="15" s="1"/>
  <c r="N52" i="13"/>
  <c r="V52" i="5" s="1"/>
  <c r="L52" i="13"/>
  <c r="P52" i="13" s="1"/>
  <c r="V24" i="5" s="1"/>
  <c r="M57" i="1"/>
  <c r="K57" i="1"/>
  <c r="I57" i="1"/>
  <c r="H58" i="1"/>
  <c r="Q51" i="8"/>
  <c r="J52" i="6"/>
  <c r="O52" i="6" s="1"/>
  <c r="J52" i="8"/>
  <c r="O52" i="8" s="1"/>
  <c r="M53" i="10"/>
  <c r="K53" i="10"/>
  <c r="I53" i="10"/>
  <c r="M53" i="8"/>
  <c r="K53" i="8"/>
  <c r="I53" i="8"/>
  <c r="Q51" i="3"/>
  <c r="L52" i="12"/>
  <c r="P52" i="12" s="1"/>
  <c r="V23" i="5" s="1"/>
  <c r="N52" i="12"/>
  <c r="V51" i="5" s="1"/>
  <c r="J52" i="12"/>
  <c r="O52" i="12" s="1"/>
  <c r="L52" i="14"/>
  <c r="P52" i="14" s="1"/>
  <c r="V25" i="5" s="1"/>
  <c r="N52" i="14"/>
  <c r="V53" i="5" s="1"/>
  <c r="L52" i="10"/>
  <c r="P52" i="10" s="1"/>
  <c r="V20" i="5" s="1"/>
  <c r="N52" i="10"/>
  <c r="V48" i="5" s="1"/>
  <c r="L52" i="11"/>
  <c r="P52" i="11" s="1"/>
  <c r="V21" i="5" s="1"/>
  <c r="N52" i="11"/>
  <c r="V49" i="5" s="1"/>
  <c r="J52" i="3"/>
  <c r="O52" i="3" s="1"/>
  <c r="O56" i="1"/>
  <c r="L56" i="1"/>
  <c r="R51" i="8"/>
  <c r="J52" i="9"/>
  <c r="O52" i="9" s="1"/>
  <c r="M53" i="3"/>
  <c r="K53" i="3"/>
  <c r="I53" i="3"/>
  <c r="J53" i="4"/>
  <c r="O53" i="4" s="1"/>
  <c r="M53" i="13"/>
  <c r="K53" i="13"/>
  <c r="I53" i="13"/>
  <c r="J53" i="13" s="1"/>
  <c r="O53" i="13" s="1"/>
  <c r="R51" i="3"/>
  <c r="Q55" i="1" l="1"/>
  <c r="R55" i="1"/>
  <c r="N56" i="1"/>
  <c r="Q52" i="15"/>
  <c r="R52" i="9"/>
  <c r="Q52" i="3"/>
  <c r="Q52" i="8"/>
  <c r="R52" i="15"/>
  <c r="R52" i="3"/>
  <c r="R53" i="4"/>
  <c r="R52" i="8"/>
  <c r="Q52" i="9"/>
  <c r="Q52" i="6"/>
  <c r="R52" i="6"/>
  <c r="L53" i="3"/>
  <c r="P53" i="3" s="1"/>
  <c r="U17" i="5" s="1"/>
  <c r="N53" i="3"/>
  <c r="U45" i="5" s="1"/>
  <c r="L53" i="10"/>
  <c r="P53" i="10" s="1"/>
  <c r="U20" i="5" s="1"/>
  <c r="N53" i="10"/>
  <c r="U48" i="5" s="1"/>
  <c r="O57" i="1"/>
  <c r="L57" i="1"/>
  <c r="Q52" i="14"/>
  <c r="R52" i="11"/>
  <c r="L54" i="4"/>
  <c r="P54" i="4" s="1"/>
  <c r="T27" i="5" s="1"/>
  <c r="N54" i="4"/>
  <c r="T55" i="5" s="1"/>
  <c r="M54" i="6"/>
  <c r="K54" i="6"/>
  <c r="I54" i="6"/>
  <c r="J54" i="6" s="1"/>
  <c r="O54" i="6" s="1"/>
  <c r="M54" i="10"/>
  <c r="K54" i="10"/>
  <c r="I54" i="10"/>
  <c r="J54" i="10" s="1"/>
  <c r="O54" i="10" s="1"/>
  <c r="N53" i="8"/>
  <c r="U46" i="5" s="1"/>
  <c r="L53" i="8"/>
  <c r="P53" i="8" s="1"/>
  <c r="U18" i="5" s="1"/>
  <c r="Q52" i="12"/>
  <c r="R52" i="13"/>
  <c r="R52" i="10"/>
  <c r="M54" i="15"/>
  <c r="K54" i="15"/>
  <c r="I54" i="15"/>
  <c r="J54" i="15" s="1"/>
  <c r="O54" i="15" s="1"/>
  <c r="M54" i="3"/>
  <c r="K54" i="3"/>
  <c r="I54" i="3"/>
  <c r="J54" i="3" s="1"/>
  <c r="O54" i="3" s="1"/>
  <c r="M54" i="11"/>
  <c r="K54" i="11"/>
  <c r="I54" i="11"/>
  <c r="J54" i="11" s="1"/>
  <c r="O54" i="11" s="1"/>
  <c r="R52" i="14"/>
  <c r="L53" i="13"/>
  <c r="P53" i="13" s="1"/>
  <c r="U24" i="5" s="1"/>
  <c r="N53" i="13"/>
  <c r="U52" i="5" s="1"/>
  <c r="J53" i="3"/>
  <c r="O53" i="3" s="1"/>
  <c r="R52" i="12"/>
  <c r="Q53" i="4"/>
  <c r="Q52" i="13"/>
  <c r="Q52" i="10"/>
  <c r="M54" i="14"/>
  <c r="K54" i="14"/>
  <c r="I54" i="14"/>
  <c r="M54" i="12"/>
  <c r="K54" i="12"/>
  <c r="I54" i="12"/>
  <c r="J54" i="12" s="1"/>
  <c r="O54" i="12" s="1"/>
  <c r="M54" i="13"/>
  <c r="K54" i="13"/>
  <c r="I54" i="13"/>
  <c r="J53" i="8"/>
  <c r="O53" i="8" s="1"/>
  <c r="J53" i="10"/>
  <c r="O53" i="10" s="1"/>
  <c r="M58" i="1"/>
  <c r="K58" i="1"/>
  <c r="I58" i="1"/>
  <c r="J58" i="1" s="1"/>
  <c r="P58" i="1" s="1"/>
  <c r="H59" i="1"/>
  <c r="J57" i="1"/>
  <c r="P57" i="1" s="1"/>
  <c r="N53" i="14"/>
  <c r="U53" i="5" s="1"/>
  <c r="L53" i="14"/>
  <c r="P53" i="14" s="1"/>
  <c r="U25" i="5" s="1"/>
  <c r="L53" i="12"/>
  <c r="P53" i="12" s="1"/>
  <c r="U23" i="5" s="1"/>
  <c r="N53" i="12"/>
  <c r="U51" i="5" s="1"/>
  <c r="N53" i="6"/>
  <c r="U50" i="5" s="1"/>
  <c r="L53" i="6"/>
  <c r="P53" i="6" s="1"/>
  <c r="U22" i="5" s="1"/>
  <c r="Q52" i="11"/>
  <c r="L53" i="11"/>
  <c r="P53" i="11" s="1"/>
  <c r="U21" i="5" s="1"/>
  <c r="N53" i="11"/>
  <c r="U49" i="5" s="1"/>
  <c r="N53" i="9"/>
  <c r="U47" i="5" s="1"/>
  <c r="L53" i="9"/>
  <c r="P53" i="9" s="1"/>
  <c r="U19" i="5" s="1"/>
  <c r="L53" i="15"/>
  <c r="P53" i="15" s="1"/>
  <c r="U26" i="5" s="1"/>
  <c r="N53" i="15"/>
  <c r="U54" i="5" s="1"/>
  <c r="M55" i="4"/>
  <c r="H55" i="11"/>
  <c r="H55" i="15"/>
  <c r="H55" i="10"/>
  <c r="H55" i="12"/>
  <c r="H55" i="8"/>
  <c r="H55" i="13"/>
  <c r="H55" i="3"/>
  <c r="H55" i="14"/>
  <c r="H55" i="6"/>
  <c r="H55" i="9"/>
  <c r="K55" i="4"/>
  <c r="I55" i="4"/>
  <c r="J55" i="4" s="1"/>
  <c r="O55" i="4" s="1"/>
  <c r="H56" i="4"/>
  <c r="J54" i="4"/>
  <c r="O54" i="4" s="1"/>
  <c r="M54" i="9"/>
  <c r="K54" i="9"/>
  <c r="I54" i="9"/>
  <c r="J54" i="9" s="1"/>
  <c r="O54" i="9" s="1"/>
  <c r="M54" i="8"/>
  <c r="K54" i="8"/>
  <c r="I54" i="8"/>
  <c r="J54" i="8" s="1"/>
  <c r="O54" i="8" s="1"/>
  <c r="R54" i="4" l="1"/>
  <c r="R56" i="1"/>
  <c r="Q56" i="1"/>
  <c r="N57" i="1"/>
  <c r="Q53" i="3"/>
  <c r="Q54" i="4"/>
  <c r="R53" i="10"/>
  <c r="Q53" i="10"/>
  <c r="R53" i="3"/>
  <c r="Q53" i="12"/>
  <c r="R53" i="9"/>
  <c r="Q53" i="8"/>
  <c r="H56" i="14"/>
  <c r="H56" i="3"/>
  <c r="H56" i="9"/>
  <c r="H56" i="10"/>
  <c r="H56" i="15"/>
  <c r="M56" i="4"/>
  <c r="H56" i="8"/>
  <c r="H56" i="6"/>
  <c r="H56" i="11"/>
  <c r="H56" i="12"/>
  <c r="H56" i="13"/>
  <c r="K56" i="4"/>
  <c r="I56" i="4"/>
  <c r="H57" i="4"/>
  <c r="M55" i="6"/>
  <c r="K55" i="6"/>
  <c r="I55" i="6"/>
  <c r="M55" i="8"/>
  <c r="K55" i="8"/>
  <c r="I55" i="8"/>
  <c r="J55" i="8" s="1"/>
  <c r="O55" i="8" s="1"/>
  <c r="N54" i="13"/>
  <c r="T52" i="5" s="1"/>
  <c r="L54" i="13"/>
  <c r="P54" i="13" s="1"/>
  <c r="T24" i="5" s="1"/>
  <c r="N54" i="12"/>
  <c r="T51" i="5" s="1"/>
  <c r="L54" i="12"/>
  <c r="P54" i="12" s="1"/>
  <c r="T23" i="5" s="1"/>
  <c r="L54" i="14"/>
  <c r="P54" i="14" s="1"/>
  <c r="T25" i="5" s="1"/>
  <c r="N54" i="14"/>
  <c r="T53" i="5" s="1"/>
  <c r="R53" i="15"/>
  <c r="R53" i="11"/>
  <c r="R53" i="6"/>
  <c r="R53" i="14"/>
  <c r="N54" i="11"/>
  <c r="T49" i="5" s="1"/>
  <c r="L54" i="11"/>
  <c r="P54" i="11" s="1"/>
  <c r="T21" i="5" s="1"/>
  <c r="L54" i="3"/>
  <c r="P54" i="3" s="1"/>
  <c r="T17" i="5" s="1"/>
  <c r="N54" i="3"/>
  <c r="T45" i="5" s="1"/>
  <c r="N54" i="15"/>
  <c r="T54" i="5" s="1"/>
  <c r="L54" i="15"/>
  <c r="P54" i="15" s="1"/>
  <c r="T26" i="5" s="1"/>
  <c r="Q53" i="13"/>
  <c r="L55" i="4"/>
  <c r="P55" i="4" s="1"/>
  <c r="S27" i="5" s="1"/>
  <c r="N55" i="4"/>
  <c r="S55" i="5" s="1"/>
  <c r="M55" i="14"/>
  <c r="K55" i="14"/>
  <c r="I55" i="14"/>
  <c r="J55" i="14" s="1"/>
  <c r="O55" i="14" s="1"/>
  <c r="M55" i="12"/>
  <c r="K55" i="12"/>
  <c r="I55" i="12"/>
  <c r="J55" i="12" s="1"/>
  <c r="O55" i="12" s="1"/>
  <c r="M55" i="11"/>
  <c r="K55" i="11"/>
  <c r="I55" i="11"/>
  <c r="J55" i="11" s="1"/>
  <c r="O55" i="11" s="1"/>
  <c r="M59" i="1"/>
  <c r="K59" i="1"/>
  <c r="I59" i="1"/>
  <c r="J59" i="1" s="1"/>
  <c r="P59" i="1" s="1"/>
  <c r="H60" i="1"/>
  <c r="Q53" i="15"/>
  <c r="Q53" i="11"/>
  <c r="Q53" i="6"/>
  <c r="Q53" i="14"/>
  <c r="R53" i="13"/>
  <c r="L54" i="10"/>
  <c r="P54" i="10" s="1"/>
  <c r="T20" i="5" s="1"/>
  <c r="N54" i="10"/>
  <c r="T48" i="5" s="1"/>
  <c r="L54" i="6"/>
  <c r="P54" i="6" s="1"/>
  <c r="T22" i="5" s="1"/>
  <c r="N54" i="6"/>
  <c r="T50" i="5" s="1"/>
  <c r="M55" i="3"/>
  <c r="K55" i="3"/>
  <c r="I55" i="3"/>
  <c r="J55" i="3" s="1"/>
  <c r="O55" i="3" s="1"/>
  <c r="M55" i="10"/>
  <c r="K55" i="10"/>
  <c r="I55" i="10"/>
  <c r="O58" i="1"/>
  <c r="L58" i="1"/>
  <c r="Q54" i="13"/>
  <c r="N54" i="8"/>
  <c r="T46" i="5" s="1"/>
  <c r="L54" i="8"/>
  <c r="P54" i="8" s="1"/>
  <c r="T18" i="5" s="1"/>
  <c r="N54" i="9"/>
  <c r="T47" i="5" s="1"/>
  <c r="L54" i="9"/>
  <c r="P54" i="9" s="1"/>
  <c r="T19" i="5" s="1"/>
  <c r="M55" i="9"/>
  <c r="K55" i="9"/>
  <c r="I55" i="9"/>
  <c r="M55" i="13"/>
  <c r="K55" i="13"/>
  <c r="I55" i="13"/>
  <c r="J55" i="13" s="1"/>
  <c r="O55" i="13" s="1"/>
  <c r="M55" i="15"/>
  <c r="K55" i="15"/>
  <c r="I55" i="15"/>
  <c r="J55" i="15" s="1"/>
  <c r="O55" i="15" s="1"/>
  <c r="J54" i="13"/>
  <c r="O54" i="13" s="1"/>
  <c r="J54" i="14"/>
  <c r="O54" i="14" s="1"/>
  <c r="Q53" i="9"/>
  <c r="R53" i="12"/>
  <c r="R53" i="8"/>
  <c r="Q57" i="1" l="1"/>
  <c r="R57" i="1"/>
  <c r="N58" i="1"/>
  <c r="R55" i="4"/>
  <c r="R54" i="13"/>
  <c r="Q55" i="4"/>
  <c r="Q54" i="3"/>
  <c r="R54" i="14"/>
  <c r="R54" i="3"/>
  <c r="Q54" i="12"/>
  <c r="Q54" i="14"/>
  <c r="Q54" i="15"/>
  <c r="Q54" i="11"/>
  <c r="R54" i="12"/>
  <c r="R54" i="15"/>
  <c r="R54" i="11"/>
  <c r="N55" i="9"/>
  <c r="S47" i="5" s="1"/>
  <c r="L55" i="9"/>
  <c r="P55" i="9" s="1"/>
  <c r="S19" i="5" s="1"/>
  <c r="J55" i="9"/>
  <c r="O55" i="9" s="1"/>
  <c r="L55" i="10"/>
  <c r="P55" i="10" s="1"/>
  <c r="S20" i="5" s="1"/>
  <c r="N55" i="10"/>
  <c r="S48" i="5" s="1"/>
  <c r="L55" i="3"/>
  <c r="P55" i="3" s="1"/>
  <c r="S17" i="5" s="1"/>
  <c r="N55" i="3"/>
  <c r="S45" i="5" s="1"/>
  <c r="Q54" i="9"/>
  <c r="R54" i="6"/>
  <c r="M56" i="13"/>
  <c r="K56" i="13"/>
  <c r="I56" i="13"/>
  <c r="M56" i="8"/>
  <c r="K56" i="8"/>
  <c r="I56" i="8"/>
  <c r="M56" i="9"/>
  <c r="K56" i="9"/>
  <c r="I56" i="9"/>
  <c r="M60" i="1"/>
  <c r="K60" i="1"/>
  <c r="I60" i="1"/>
  <c r="H61" i="1"/>
  <c r="R54" i="9"/>
  <c r="Q54" i="6"/>
  <c r="L55" i="8"/>
  <c r="P55" i="8" s="1"/>
  <c r="S18" i="5" s="1"/>
  <c r="N55" i="8"/>
  <c r="S46" i="5" s="1"/>
  <c r="N55" i="6"/>
  <c r="S50" i="5" s="1"/>
  <c r="L55" i="6"/>
  <c r="P55" i="6" s="1"/>
  <c r="S22" i="5" s="1"/>
  <c r="H57" i="10"/>
  <c r="H57" i="15"/>
  <c r="H57" i="8"/>
  <c r="M57" i="4"/>
  <c r="H57" i="3"/>
  <c r="H57" i="14"/>
  <c r="H57" i="9"/>
  <c r="H57" i="13"/>
  <c r="H57" i="6"/>
  <c r="H57" i="12"/>
  <c r="H57" i="11"/>
  <c r="K57" i="4"/>
  <c r="I57" i="4"/>
  <c r="H58" i="4"/>
  <c r="M56" i="12"/>
  <c r="K56" i="12"/>
  <c r="I56" i="12"/>
  <c r="M56" i="3"/>
  <c r="K56" i="3"/>
  <c r="I56" i="3"/>
  <c r="J56" i="3" s="1"/>
  <c r="O56" i="3" s="1"/>
  <c r="N55" i="13"/>
  <c r="S52" i="5" s="1"/>
  <c r="L55" i="13"/>
  <c r="P55" i="13" s="1"/>
  <c r="S24" i="5" s="1"/>
  <c r="O59" i="1"/>
  <c r="L59" i="1"/>
  <c r="N55" i="11"/>
  <c r="S49" i="5" s="1"/>
  <c r="L55" i="11"/>
  <c r="P55" i="11" s="1"/>
  <c r="S21" i="5" s="1"/>
  <c r="N55" i="12"/>
  <c r="S51" i="5" s="1"/>
  <c r="L55" i="12"/>
  <c r="P55" i="12" s="1"/>
  <c r="S23" i="5" s="1"/>
  <c r="L55" i="14"/>
  <c r="P55" i="14" s="1"/>
  <c r="S25" i="5" s="1"/>
  <c r="N55" i="14"/>
  <c r="S53" i="5" s="1"/>
  <c r="R54" i="8"/>
  <c r="Q54" i="10"/>
  <c r="L56" i="4"/>
  <c r="P56" i="4" s="1"/>
  <c r="R27" i="5" s="1"/>
  <c r="N56" i="4"/>
  <c r="R55" i="5" s="1"/>
  <c r="M56" i="11"/>
  <c r="K56" i="11"/>
  <c r="I56" i="11"/>
  <c r="M56" i="15"/>
  <c r="K56" i="15"/>
  <c r="I56" i="15"/>
  <c r="M56" i="14"/>
  <c r="K56" i="14"/>
  <c r="I56" i="14"/>
  <c r="J56" i="14" s="1"/>
  <c r="O56" i="14" s="1"/>
  <c r="N55" i="15"/>
  <c r="S54" i="5" s="1"/>
  <c r="L55" i="15"/>
  <c r="P55" i="15" s="1"/>
  <c r="S26" i="5" s="1"/>
  <c r="J55" i="10"/>
  <c r="O55" i="10" s="1"/>
  <c r="Q54" i="8"/>
  <c r="R54" i="10"/>
  <c r="J55" i="6"/>
  <c r="O55" i="6" s="1"/>
  <c r="M56" i="6"/>
  <c r="K56" i="6"/>
  <c r="I56" i="6"/>
  <c r="M56" i="10"/>
  <c r="K56" i="10"/>
  <c r="I56" i="10"/>
  <c r="J56" i="4"/>
  <c r="O56" i="4" s="1"/>
  <c r="R58" i="1" l="1"/>
  <c r="Q58" i="1"/>
  <c r="N59" i="1"/>
  <c r="Q55" i="3"/>
  <c r="Q55" i="10"/>
  <c r="Q55" i="9"/>
  <c r="R55" i="3"/>
  <c r="R55" i="8"/>
  <c r="R55" i="10"/>
  <c r="R55" i="9"/>
  <c r="Q55" i="8"/>
  <c r="N56" i="6"/>
  <c r="R50" i="5" s="1"/>
  <c r="L56" i="6"/>
  <c r="P56" i="6" s="1"/>
  <c r="R22" i="5" s="1"/>
  <c r="L56" i="11"/>
  <c r="P56" i="11" s="1"/>
  <c r="R21" i="5" s="1"/>
  <c r="N56" i="11"/>
  <c r="R49" i="5" s="1"/>
  <c r="N56" i="12"/>
  <c r="R51" i="5" s="1"/>
  <c r="L56" i="12"/>
  <c r="P56" i="12" s="1"/>
  <c r="R23" i="5" s="1"/>
  <c r="H58" i="12"/>
  <c r="H58" i="14"/>
  <c r="H58" i="10"/>
  <c r="H58" i="3"/>
  <c r="H58" i="9"/>
  <c r="M58" i="4"/>
  <c r="H58" i="8"/>
  <c r="H58" i="15"/>
  <c r="H58" i="13"/>
  <c r="H58" i="11"/>
  <c r="H58" i="6"/>
  <c r="K58" i="4"/>
  <c r="I58" i="4"/>
  <c r="H59" i="4"/>
  <c r="M57" i="12"/>
  <c r="K57" i="12"/>
  <c r="I57" i="12"/>
  <c r="J57" i="12" s="1"/>
  <c r="O57" i="12" s="1"/>
  <c r="M57" i="14"/>
  <c r="K57" i="14"/>
  <c r="I57" i="14"/>
  <c r="J57" i="14" s="1"/>
  <c r="O57" i="14" s="1"/>
  <c r="M57" i="8"/>
  <c r="K57" i="8"/>
  <c r="I57" i="8"/>
  <c r="J57" i="8" s="1"/>
  <c r="O57" i="8" s="1"/>
  <c r="Q55" i="11"/>
  <c r="O60" i="1"/>
  <c r="L60" i="1"/>
  <c r="L56" i="9"/>
  <c r="P56" i="9" s="1"/>
  <c r="R19" i="5" s="1"/>
  <c r="N56" i="9"/>
  <c r="R47" i="5" s="1"/>
  <c r="N56" i="8"/>
  <c r="R46" i="5" s="1"/>
  <c r="L56" i="8"/>
  <c r="P56" i="8" s="1"/>
  <c r="R18" i="5" s="1"/>
  <c r="L56" i="13"/>
  <c r="P56" i="13" s="1"/>
  <c r="R24" i="5" s="1"/>
  <c r="N56" i="13"/>
  <c r="R52" i="5" s="1"/>
  <c r="R55" i="6"/>
  <c r="R55" i="14"/>
  <c r="R55" i="13"/>
  <c r="L57" i="4"/>
  <c r="P57" i="4" s="1"/>
  <c r="Q27" i="5" s="1"/>
  <c r="N57" i="4"/>
  <c r="Q55" i="5" s="1"/>
  <c r="M57" i="6"/>
  <c r="K57" i="6"/>
  <c r="I57" i="6"/>
  <c r="J57" i="6" s="1"/>
  <c r="O57" i="6" s="1"/>
  <c r="J57" i="4"/>
  <c r="O57" i="4" s="1"/>
  <c r="M57" i="15"/>
  <c r="K57" i="15"/>
  <c r="I57" i="15"/>
  <c r="J57" i="15" s="1"/>
  <c r="O57" i="15" s="1"/>
  <c r="R55" i="12"/>
  <c r="Q55" i="6"/>
  <c r="Q55" i="14"/>
  <c r="Q55" i="13"/>
  <c r="N56" i="10"/>
  <c r="R48" i="5" s="1"/>
  <c r="L56" i="10"/>
  <c r="P56" i="10" s="1"/>
  <c r="R20" i="5" s="1"/>
  <c r="N56" i="15"/>
  <c r="R54" i="5" s="1"/>
  <c r="L56" i="15"/>
  <c r="P56" i="15" s="1"/>
  <c r="R26" i="5" s="1"/>
  <c r="J56" i="6"/>
  <c r="O56" i="6" s="1"/>
  <c r="L56" i="3"/>
  <c r="P56" i="3" s="1"/>
  <c r="R17" i="5" s="1"/>
  <c r="N56" i="3"/>
  <c r="R45" i="5" s="1"/>
  <c r="R56" i="4"/>
  <c r="M57" i="13"/>
  <c r="K57" i="13"/>
  <c r="I57" i="13"/>
  <c r="J57" i="13" s="1"/>
  <c r="O57" i="13" s="1"/>
  <c r="M57" i="3"/>
  <c r="K57" i="3"/>
  <c r="I57" i="3"/>
  <c r="J57" i="3" s="1"/>
  <c r="O57" i="3" s="1"/>
  <c r="M57" i="10"/>
  <c r="K57" i="10"/>
  <c r="I57" i="10"/>
  <c r="Q55" i="12"/>
  <c r="Q55" i="15"/>
  <c r="J56" i="9"/>
  <c r="O56" i="9" s="1"/>
  <c r="J56" i="8"/>
  <c r="O56" i="8" s="1"/>
  <c r="L56" i="14"/>
  <c r="P56" i="14" s="1"/>
  <c r="R25" i="5" s="1"/>
  <c r="N56" i="14"/>
  <c r="R53" i="5" s="1"/>
  <c r="J56" i="10"/>
  <c r="O56" i="10" s="1"/>
  <c r="J56" i="15"/>
  <c r="O56" i="15" s="1"/>
  <c r="J56" i="11"/>
  <c r="O56" i="11" s="1"/>
  <c r="Q56" i="4"/>
  <c r="J56" i="12"/>
  <c r="O56" i="12" s="1"/>
  <c r="M57" i="11"/>
  <c r="K57" i="11"/>
  <c r="I57" i="11"/>
  <c r="J57" i="11" s="1"/>
  <c r="O57" i="11" s="1"/>
  <c r="M57" i="9"/>
  <c r="K57" i="9"/>
  <c r="I57" i="9"/>
  <c r="J57" i="9" s="1"/>
  <c r="O57" i="9" s="1"/>
  <c r="R55" i="11"/>
  <c r="M61" i="1"/>
  <c r="K61" i="1"/>
  <c r="I61" i="1"/>
  <c r="J61" i="1" s="1"/>
  <c r="P61" i="1" s="1"/>
  <c r="H62" i="1"/>
  <c r="J60" i="1"/>
  <c r="P60" i="1" s="1"/>
  <c r="R55" i="15"/>
  <c r="J56" i="13"/>
  <c r="O56" i="13" s="1"/>
  <c r="Q59" i="1" l="1"/>
  <c r="R59" i="1"/>
  <c r="N60" i="1"/>
  <c r="R56" i="11"/>
  <c r="Q56" i="11"/>
  <c r="R56" i="15"/>
  <c r="Q56" i="8"/>
  <c r="Q56" i="15"/>
  <c r="R56" i="6"/>
  <c r="R57" i="4"/>
  <c r="R56" i="8"/>
  <c r="R56" i="13"/>
  <c r="Q57" i="4"/>
  <c r="Q56" i="12"/>
  <c r="Q56" i="9"/>
  <c r="R56" i="12"/>
  <c r="Q56" i="6"/>
  <c r="R56" i="9"/>
  <c r="Q56" i="13"/>
  <c r="Q56" i="10"/>
  <c r="R56" i="14"/>
  <c r="R56" i="10"/>
  <c r="N58" i="4"/>
  <c r="P55" i="5" s="1"/>
  <c r="L58" i="4"/>
  <c r="P58" i="4" s="1"/>
  <c r="P27" i="5" s="1"/>
  <c r="M58" i="13"/>
  <c r="K58" i="13"/>
  <c r="I58" i="13"/>
  <c r="J58" i="13" s="1"/>
  <c r="O58" i="13" s="1"/>
  <c r="J58" i="4"/>
  <c r="O58" i="4" s="1"/>
  <c r="M58" i="14"/>
  <c r="K58" i="14"/>
  <c r="I58" i="14"/>
  <c r="M62" i="1"/>
  <c r="K62" i="1"/>
  <c r="I62" i="1"/>
  <c r="H63" i="1"/>
  <c r="N57" i="10"/>
  <c r="Q48" i="5" s="1"/>
  <c r="L57" i="10"/>
  <c r="P57" i="10" s="1"/>
  <c r="Q20" i="5" s="1"/>
  <c r="L57" i="3"/>
  <c r="P57" i="3" s="1"/>
  <c r="Q17" i="5" s="1"/>
  <c r="N57" i="3"/>
  <c r="Q45" i="5" s="1"/>
  <c r="L57" i="13"/>
  <c r="P57" i="13" s="1"/>
  <c r="Q24" i="5" s="1"/>
  <c r="N57" i="13"/>
  <c r="Q52" i="5" s="1"/>
  <c r="Q56" i="3"/>
  <c r="M58" i="15"/>
  <c r="K58" i="15"/>
  <c r="I58" i="15"/>
  <c r="J58" i="15" s="1"/>
  <c r="O58" i="15" s="1"/>
  <c r="M58" i="9"/>
  <c r="K58" i="9"/>
  <c r="I58" i="9"/>
  <c r="J58" i="9" s="1"/>
  <c r="O58" i="9" s="1"/>
  <c r="M58" i="12"/>
  <c r="K58" i="12"/>
  <c r="I58" i="12"/>
  <c r="J58" i="12" s="1"/>
  <c r="O58" i="12" s="1"/>
  <c r="N57" i="9"/>
  <c r="Q47" i="5" s="1"/>
  <c r="L57" i="9"/>
  <c r="P57" i="9" s="1"/>
  <c r="Q19" i="5" s="1"/>
  <c r="N57" i="15"/>
  <c r="Q54" i="5" s="1"/>
  <c r="L57" i="15"/>
  <c r="P57" i="15" s="1"/>
  <c r="Q26" i="5" s="1"/>
  <c r="R56" i="3"/>
  <c r="M58" i="6"/>
  <c r="K58" i="6"/>
  <c r="I58" i="6"/>
  <c r="J58" i="6" s="1"/>
  <c r="O58" i="6" s="1"/>
  <c r="M58" i="8"/>
  <c r="K58" i="8"/>
  <c r="I58" i="8"/>
  <c r="J58" i="8" s="1"/>
  <c r="O58" i="8" s="1"/>
  <c r="M58" i="3"/>
  <c r="K58" i="3"/>
  <c r="I58" i="3"/>
  <c r="J58" i="3" s="1"/>
  <c r="O58" i="3" s="1"/>
  <c r="N57" i="11"/>
  <c r="Q49" i="5" s="1"/>
  <c r="L57" i="11"/>
  <c r="P57" i="11" s="1"/>
  <c r="Q21" i="5" s="1"/>
  <c r="O61" i="1"/>
  <c r="L61" i="1"/>
  <c r="Q56" i="14"/>
  <c r="J57" i="10"/>
  <c r="O57" i="10" s="1"/>
  <c r="L57" i="6"/>
  <c r="P57" i="6" s="1"/>
  <c r="Q22" i="5" s="1"/>
  <c r="N57" i="6"/>
  <c r="Q50" i="5" s="1"/>
  <c r="N57" i="8"/>
  <c r="Q46" i="5" s="1"/>
  <c r="L57" i="8"/>
  <c r="P57" i="8" s="1"/>
  <c r="Q18" i="5" s="1"/>
  <c r="N57" i="14"/>
  <c r="Q53" i="5" s="1"/>
  <c r="L57" i="14"/>
  <c r="P57" i="14" s="1"/>
  <c r="Q25" i="5" s="1"/>
  <c r="N57" i="12"/>
  <c r="Q51" i="5" s="1"/>
  <c r="L57" i="12"/>
  <c r="P57" i="12" s="1"/>
  <c r="Q23" i="5" s="1"/>
  <c r="H59" i="6"/>
  <c r="H59" i="15"/>
  <c r="H59" i="8"/>
  <c r="H59" i="10"/>
  <c r="M59" i="4"/>
  <c r="H59" i="11"/>
  <c r="H59" i="12"/>
  <c r="H59" i="14"/>
  <c r="H59" i="9"/>
  <c r="H59" i="3"/>
  <c r="H59" i="13"/>
  <c r="K59" i="4"/>
  <c r="I59" i="4"/>
  <c r="J59" i="4" s="1"/>
  <c r="O59" i="4" s="1"/>
  <c r="H60" i="4"/>
  <c r="M58" i="11"/>
  <c r="K58" i="11"/>
  <c r="I58" i="11"/>
  <c r="J58" i="11" s="1"/>
  <c r="O58" i="11" s="1"/>
  <c r="M58" i="10"/>
  <c r="K58" i="10"/>
  <c r="I58" i="10"/>
  <c r="Q60" i="1" l="1"/>
  <c r="R60" i="1"/>
  <c r="N61" i="1"/>
  <c r="R57" i="3"/>
  <c r="Q57" i="3"/>
  <c r="Q57" i="13"/>
  <c r="R58" i="4"/>
  <c r="R57" i="13"/>
  <c r="Q58" i="4"/>
  <c r="N58" i="10"/>
  <c r="P48" i="5" s="1"/>
  <c r="L58" i="10"/>
  <c r="P58" i="10" s="1"/>
  <c r="P20" i="5" s="1"/>
  <c r="M59" i="6"/>
  <c r="K59" i="6"/>
  <c r="I59" i="6"/>
  <c r="J59" i="6" s="1"/>
  <c r="O59" i="6" s="1"/>
  <c r="M59" i="13"/>
  <c r="K59" i="13"/>
  <c r="I59" i="13"/>
  <c r="J59" i="13" s="1"/>
  <c r="O59" i="13" s="1"/>
  <c r="M59" i="12"/>
  <c r="K59" i="12"/>
  <c r="I59" i="12"/>
  <c r="J59" i="12" s="1"/>
  <c r="O59" i="12" s="1"/>
  <c r="M59" i="10"/>
  <c r="K59" i="10"/>
  <c r="I59" i="10"/>
  <c r="J59" i="10" s="1"/>
  <c r="O59" i="10" s="1"/>
  <c r="R57" i="12"/>
  <c r="M63" i="1"/>
  <c r="K63" i="1"/>
  <c r="I63" i="1"/>
  <c r="J63" i="1" s="1"/>
  <c r="P63" i="1" s="1"/>
  <c r="H64" i="1"/>
  <c r="R57" i="15"/>
  <c r="Q57" i="11"/>
  <c r="L58" i="11"/>
  <c r="P58" i="11" s="1"/>
  <c r="P21" i="5" s="1"/>
  <c r="N58" i="11"/>
  <c r="P49" i="5" s="1"/>
  <c r="M59" i="3"/>
  <c r="K59" i="3"/>
  <c r="I59" i="3"/>
  <c r="J59" i="3" s="1"/>
  <c r="O59" i="3" s="1"/>
  <c r="R57" i="6"/>
  <c r="R57" i="8"/>
  <c r="L62" i="1"/>
  <c r="O62" i="1"/>
  <c r="N58" i="14"/>
  <c r="P53" i="5" s="1"/>
  <c r="L58" i="14"/>
  <c r="P58" i="14" s="1"/>
  <c r="P25" i="5" s="1"/>
  <c r="Q57" i="15"/>
  <c r="R57" i="11"/>
  <c r="J58" i="10"/>
  <c r="O58" i="10" s="1"/>
  <c r="N59" i="4"/>
  <c r="O55" i="5" s="1"/>
  <c r="L59" i="4"/>
  <c r="P59" i="4" s="1"/>
  <c r="O27" i="5" s="1"/>
  <c r="M59" i="9"/>
  <c r="K59" i="9"/>
  <c r="I59" i="9"/>
  <c r="J59" i="9" s="1"/>
  <c r="O59" i="9" s="1"/>
  <c r="M59" i="15"/>
  <c r="K59" i="15"/>
  <c r="I59" i="15"/>
  <c r="J59" i="15" s="1"/>
  <c r="O59" i="15" s="1"/>
  <c r="L58" i="3"/>
  <c r="P58" i="3" s="1"/>
  <c r="P17" i="5" s="1"/>
  <c r="N58" i="3"/>
  <c r="P45" i="5" s="1"/>
  <c r="N58" i="8"/>
  <c r="P46" i="5" s="1"/>
  <c r="L58" i="8"/>
  <c r="P58" i="8" s="1"/>
  <c r="P18" i="5" s="1"/>
  <c r="L58" i="6"/>
  <c r="P58" i="6" s="1"/>
  <c r="P22" i="5" s="1"/>
  <c r="N58" i="6"/>
  <c r="P50" i="5" s="1"/>
  <c r="R57" i="14"/>
  <c r="Q57" i="6"/>
  <c r="Q57" i="8"/>
  <c r="N58" i="13"/>
  <c r="P52" i="5" s="1"/>
  <c r="L58" i="13"/>
  <c r="P58" i="13" s="1"/>
  <c r="P24" i="5" s="1"/>
  <c r="R57" i="10"/>
  <c r="R57" i="9"/>
  <c r="H60" i="6"/>
  <c r="H60" i="8"/>
  <c r="H60" i="9"/>
  <c r="H60" i="14"/>
  <c r="H60" i="13"/>
  <c r="M60" i="4"/>
  <c r="H60" i="10"/>
  <c r="H60" i="11"/>
  <c r="H60" i="12"/>
  <c r="H60" i="3"/>
  <c r="H60" i="15"/>
  <c r="K60" i="4"/>
  <c r="I60" i="4"/>
  <c r="H61" i="4"/>
  <c r="M59" i="11"/>
  <c r="K59" i="11"/>
  <c r="I59" i="11"/>
  <c r="J59" i="11" s="1"/>
  <c r="O59" i="11" s="1"/>
  <c r="M59" i="8"/>
  <c r="K59" i="8"/>
  <c r="I59" i="8"/>
  <c r="M59" i="14"/>
  <c r="K59" i="14"/>
  <c r="I59" i="14"/>
  <c r="J59" i="14" s="1"/>
  <c r="O59" i="14" s="1"/>
  <c r="Q57" i="14"/>
  <c r="L58" i="12"/>
  <c r="P58" i="12" s="1"/>
  <c r="P23" i="5" s="1"/>
  <c r="N58" i="12"/>
  <c r="P51" i="5" s="1"/>
  <c r="L58" i="9"/>
  <c r="P58" i="9" s="1"/>
  <c r="P19" i="5" s="1"/>
  <c r="N58" i="9"/>
  <c r="P47" i="5" s="1"/>
  <c r="N58" i="15"/>
  <c r="P54" i="5" s="1"/>
  <c r="L58" i="15"/>
  <c r="P58" i="15" s="1"/>
  <c r="P26" i="5" s="1"/>
  <c r="Q57" i="12"/>
  <c r="J62" i="1"/>
  <c r="P62" i="1" s="1"/>
  <c r="J58" i="14"/>
  <c r="O58" i="14" s="1"/>
  <c r="Q57" i="10"/>
  <c r="Q57" i="9"/>
  <c r="R61" i="1" l="1"/>
  <c r="Q61" i="1"/>
  <c r="N62" i="1"/>
  <c r="Q59" i="4"/>
  <c r="Q58" i="11"/>
  <c r="R58" i="10"/>
  <c r="R58" i="11"/>
  <c r="Q58" i="10"/>
  <c r="Q58" i="14"/>
  <c r="R58" i="13"/>
  <c r="Q58" i="15"/>
  <c r="Q58" i="9"/>
  <c r="R59" i="4"/>
  <c r="R58" i="14"/>
  <c r="L59" i="8"/>
  <c r="P59" i="8" s="1"/>
  <c r="O18" i="5" s="1"/>
  <c r="N59" i="8"/>
  <c r="O46" i="5" s="1"/>
  <c r="L60" i="4"/>
  <c r="P60" i="4" s="1"/>
  <c r="N27" i="5" s="1"/>
  <c r="N60" i="4"/>
  <c r="N55" i="5" s="1"/>
  <c r="N59" i="14"/>
  <c r="O53" i="5" s="1"/>
  <c r="L59" i="14"/>
  <c r="P59" i="14" s="1"/>
  <c r="O25" i="5" s="1"/>
  <c r="M60" i="11"/>
  <c r="K60" i="11"/>
  <c r="I60" i="11"/>
  <c r="J60" i="11" s="1"/>
  <c r="O60" i="11" s="1"/>
  <c r="M60" i="13"/>
  <c r="K60" i="13"/>
  <c r="I60" i="13"/>
  <c r="J60" i="13" s="1"/>
  <c r="O60" i="13" s="1"/>
  <c r="M60" i="6"/>
  <c r="K60" i="6"/>
  <c r="I60" i="6"/>
  <c r="J60" i="6" s="1"/>
  <c r="O60" i="6" s="1"/>
  <c r="R58" i="9"/>
  <c r="R58" i="8"/>
  <c r="Q58" i="3"/>
  <c r="J59" i="8"/>
  <c r="O59" i="8" s="1"/>
  <c r="M60" i="15"/>
  <c r="K60" i="15"/>
  <c r="I60" i="15"/>
  <c r="J60" i="15" s="1"/>
  <c r="O60" i="15" s="1"/>
  <c r="J60" i="4"/>
  <c r="O60" i="4" s="1"/>
  <c r="M60" i="14"/>
  <c r="K60" i="14"/>
  <c r="I60" i="14"/>
  <c r="J60" i="14" s="1"/>
  <c r="O60" i="14" s="1"/>
  <c r="R58" i="15"/>
  <c r="Q58" i="12"/>
  <c r="L59" i="9"/>
  <c r="P59" i="9" s="1"/>
  <c r="O19" i="5" s="1"/>
  <c r="N59" i="9"/>
  <c r="O47" i="5" s="1"/>
  <c r="Q58" i="8"/>
  <c r="R58" i="3"/>
  <c r="H61" i="8"/>
  <c r="M61" i="4"/>
  <c r="H61" i="11"/>
  <c r="H61" i="10"/>
  <c r="H61" i="6"/>
  <c r="H61" i="9"/>
  <c r="H61" i="12"/>
  <c r="H61" i="14"/>
  <c r="H61" i="3"/>
  <c r="H61" i="15"/>
  <c r="H61" i="13"/>
  <c r="K61" i="4"/>
  <c r="I61" i="4"/>
  <c r="H62" i="4"/>
  <c r="M60" i="3"/>
  <c r="K60" i="3"/>
  <c r="I60" i="3"/>
  <c r="J60" i="3" s="1"/>
  <c r="O60" i="3" s="1"/>
  <c r="M60" i="10"/>
  <c r="K60" i="10"/>
  <c r="I60" i="10"/>
  <c r="J60" i="10" s="1"/>
  <c r="O60" i="10" s="1"/>
  <c r="M60" i="9"/>
  <c r="K60" i="9"/>
  <c r="I60" i="9"/>
  <c r="J60" i="9" s="1"/>
  <c r="O60" i="9" s="1"/>
  <c r="R58" i="12"/>
  <c r="Q58" i="6"/>
  <c r="L59" i="3"/>
  <c r="P59" i="3" s="1"/>
  <c r="O17" i="5" s="1"/>
  <c r="N59" i="3"/>
  <c r="O45" i="5" s="1"/>
  <c r="M64" i="1"/>
  <c r="K64" i="1"/>
  <c r="I64" i="1"/>
  <c r="J64" i="1" s="1"/>
  <c r="P64" i="1" s="1"/>
  <c r="H65" i="1"/>
  <c r="N59" i="10"/>
  <c r="O48" i="5" s="1"/>
  <c r="L59" i="10"/>
  <c r="P59" i="10" s="1"/>
  <c r="O20" i="5" s="1"/>
  <c r="N59" i="12"/>
  <c r="O51" i="5" s="1"/>
  <c r="L59" i="12"/>
  <c r="P59" i="12" s="1"/>
  <c r="O23" i="5" s="1"/>
  <c r="N59" i="13"/>
  <c r="O52" i="5" s="1"/>
  <c r="L59" i="13"/>
  <c r="P59" i="13" s="1"/>
  <c r="O24" i="5" s="1"/>
  <c r="L59" i="6"/>
  <c r="P59" i="6" s="1"/>
  <c r="O22" i="5" s="1"/>
  <c r="N59" i="6"/>
  <c r="O50" i="5" s="1"/>
  <c r="N59" i="11"/>
  <c r="O49" i="5" s="1"/>
  <c r="L59" i="11"/>
  <c r="P59" i="11" s="1"/>
  <c r="O21" i="5" s="1"/>
  <c r="M60" i="12"/>
  <c r="K60" i="12"/>
  <c r="I60" i="12"/>
  <c r="J60" i="12" s="1"/>
  <c r="O60" i="12" s="1"/>
  <c r="M60" i="8"/>
  <c r="K60" i="8"/>
  <c r="I60" i="8"/>
  <c r="J60" i="8" s="1"/>
  <c r="O60" i="8" s="1"/>
  <c r="L59" i="15"/>
  <c r="P59" i="15" s="1"/>
  <c r="O26" i="5" s="1"/>
  <c r="N59" i="15"/>
  <c r="O54" i="5" s="1"/>
  <c r="Q58" i="13"/>
  <c r="R58" i="6"/>
  <c r="O63" i="1"/>
  <c r="L63" i="1"/>
  <c r="R62" i="1" l="1"/>
  <c r="Q62" i="1"/>
  <c r="N63" i="1"/>
  <c r="Q60" i="4"/>
  <c r="R60" i="4"/>
  <c r="R59" i="14"/>
  <c r="Q59" i="9"/>
  <c r="Q59" i="14"/>
  <c r="R59" i="9"/>
  <c r="R59" i="8"/>
  <c r="Q59" i="8"/>
  <c r="M65" i="1"/>
  <c r="K65" i="1"/>
  <c r="I65" i="1"/>
  <c r="J65" i="1" s="1"/>
  <c r="P65" i="1" s="1"/>
  <c r="H66" i="1"/>
  <c r="Q59" i="15"/>
  <c r="L61" i="4"/>
  <c r="P61" i="4" s="1"/>
  <c r="M27" i="5" s="1"/>
  <c r="N61" i="4"/>
  <c r="M55" i="5" s="1"/>
  <c r="M61" i="15"/>
  <c r="K61" i="15"/>
  <c r="I61" i="15"/>
  <c r="J61" i="15" s="1"/>
  <c r="O61" i="15" s="1"/>
  <c r="M61" i="9"/>
  <c r="K61" i="9"/>
  <c r="I61" i="9"/>
  <c r="J61" i="9" s="1"/>
  <c r="O61" i="9" s="1"/>
  <c r="N60" i="14"/>
  <c r="N53" i="5" s="1"/>
  <c r="L60" i="14"/>
  <c r="P60" i="14" s="1"/>
  <c r="N25" i="5" s="1"/>
  <c r="Q59" i="12"/>
  <c r="O64" i="1"/>
  <c r="L64" i="1"/>
  <c r="R59" i="15"/>
  <c r="M61" i="3"/>
  <c r="K61" i="3"/>
  <c r="I61" i="3"/>
  <c r="J61" i="3" s="1"/>
  <c r="O61" i="3" s="1"/>
  <c r="M61" i="6"/>
  <c r="K61" i="6"/>
  <c r="I61" i="6"/>
  <c r="M61" i="8"/>
  <c r="K61" i="8"/>
  <c r="I61" i="8"/>
  <c r="L60" i="15"/>
  <c r="P60" i="15" s="1"/>
  <c r="N26" i="5" s="1"/>
  <c r="N60" i="15"/>
  <c r="N54" i="5" s="1"/>
  <c r="R59" i="12"/>
  <c r="L60" i="8"/>
  <c r="P60" i="8" s="1"/>
  <c r="N18" i="5" s="1"/>
  <c r="N60" i="8"/>
  <c r="N46" i="5" s="1"/>
  <c r="M61" i="13"/>
  <c r="K61" i="13"/>
  <c r="I61" i="13"/>
  <c r="J61" i="13" s="1"/>
  <c r="O61" i="13" s="1"/>
  <c r="M61" i="14"/>
  <c r="K61" i="14"/>
  <c r="I61" i="14"/>
  <c r="J61" i="14" s="1"/>
  <c r="O61" i="14" s="1"/>
  <c r="M61" i="10"/>
  <c r="K61" i="10"/>
  <c r="I61" i="10"/>
  <c r="J61" i="10" s="1"/>
  <c r="O61" i="10" s="1"/>
  <c r="R59" i="13"/>
  <c r="Q59" i="6"/>
  <c r="Q59" i="10"/>
  <c r="Q59" i="3"/>
  <c r="L60" i="6"/>
  <c r="P60" i="6" s="1"/>
  <c r="N22" i="5" s="1"/>
  <c r="N60" i="6"/>
  <c r="N50" i="5" s="1"/>
  <c r="N60" i="13"/>
  <c r="N52" i="5" s="1"/>
  <c r="L60" i="13"/>
  <c r="P60" i="13" s="1"/>
  <c r="N24" i="5" s="1"/>
  <c r="N60" i="11"/>
  <c r="N49" i="5" s="1"/>
  <c r="L60" i="11"/>
  <c r="P60" i="11" s="1"/>
  <c r="N21" i="5" s="1"/>
  <c r="Q59" i="11"/>
  <c r="N60" i="12"/>
  <c r="N51" i="5" s="1"/>
  <c r="L60" i="12"/>
  <c r="P60" i="12" s="1"/>
  <c r="N23" i="5" s="1"/>
  <c r="N60" i="9"/>
  <c r="N47" i="5" s="1"/>
  <c r="L60" i="9"/>
  <c r="P60" i="9" s="1"/>
  <c r="N19" i="5" s="1"/>
  <c r="N60" i="10"/>
  <c r="N48" i="5" s="1"/>
  <c r="L60" i="10"/>
  <c r="P60" i="10" s="1"/>
  <c r="N20" i="5" s="1"/>
  <c r="N60" i="3"/>
  <c r="N45" i="5" s="1"/>
  <c r="L60" i="3"/>
  <c r="P60" i="3" s="1"/>
  <c r="N17" i="5" s="1"/>
  <c r="H62" i="6"/>
  <c r="H62" i="9"/>
  <c r="H62" i="10"/>
  <c r="H62" i="13"/>
  <c r="H62" i="14"/>
  <c r="H62" i="15"/>
  <c r="H62" i="8"/>
  <c r="H62" i="12"/>
  <c r="H62" i="11"/>
  <c r="H62" i="3"/>
  <c r="M62" i="4"/>
  <c r="K62" i="4"/>
  <c r="I62" i="4"/>
  <c r="J62" i="4" s="1"/>
  <c r="O62" i="4" s="1"/>
  <c r="H63" i="4"/>
  <c r="J61" i="4"/>
  <c r="O61" i="4" s="1"/>
  <c r="M61" i="12"/>
  <c r="K61" i="12"/>
  <c r="I61" i="12"/>
  <c r="J61" i="12" s="1"/>
  <c r="O61" i="12" s="1"/>
  <c r="M61" i="11"/>
  <c r="K61" i="11"/>
  <c r="I61" i="11"/>
  <c r="J61" i="11" s="1"/>
  <c r="O61" i="11" s="1"/>
  <c r="Q59" i="13"/>
  <c r="R59" i="6"/>
  <c r="R59" i="10"/>
  <c r="R59" i="3"/>
  <c r="R59" i="11"/>
  <c r="R63" i="1" l="1"/>
  <c r="Q63" i="1"/>
  <c r="N64" i="1"/>
  <c r="Q60" i="14"/>
  <c r="R60" i="14"/>
  <c r="R60" i="15"/>
  <c r="Q60" i="15"/>
  <c r="Q61" i="4"/>
  <c r="R61" i="4"/>
  <c r="Q60" i="6"/>
  <c r="M62" i="12"/>
  <c r="K62" i="12"/>
  <c r="I62" i="12"/>
  <c r="M62" i="14"/>
  <c r="K62" i="14"/>
  <c r="I62" i="14"/>
  <c r="M62" i="6"/>
  <c r="K62" i="6"/>
  <c r="I62" i="6"/>
  <c r="L61" i="8"/>
  <c r="P61" i="8" s="1"/>
  <c r="M18" i="5" s="1"/>
  <c r="N61" i="8"/>
  <c r="M46" i="5" s="1"/>
  <c r="L61" i="6"/>
  <c r="P61" i="6" s="1"/>
  <c r="M22" i="5" s="1"/>
  <c r="N61" i="6"/>
  <c r="M50" i="5" s="1"/>
  <c r="L61" i="3"/>
  <c r="P61" i="3" s="1"/>
  <c r="M17" i="5" s="1"/>
  <c r="N61" i="3"/>
  <c r="M45" i="5" s="1"/>
  <c r="Q60" i="3"/>
  <c r="R60" i="12"/>
  <c r="Q60" i="13"/>
  <c r="N61" i="11"/>
  <c r="M49" i="5" s="1"/>
  <c r="L61" i="11"/>
  <c r="P61" i="11" s="1"/>
  <c r="M21" i="5" s="1"/>
  <c r="L61" i="12"/>
  <c r="P61" i="12" s="1"/>
  <c r="M23" i="5" s="1"/>
  <c r="N61" i="12"/>
  <c r="M51" i="5" s="1"/>
  <c r="M62" i="13"/>
  <c r="K62" i="13"/>
  <c r="I62" i="13"/>
  <c r="R60" i="3"/>
  <c r="Q60" i="11"/>
  <c r="M66" i="1"/>
  <c r="K66" i="1"/>
  <c r="I66" i="1"/>
  <c r="J66" i="1" s="1"/>
  <c r="P66" i="1" s="1"/>
  <c r="H67" i="1"/>
  <c r="M62" i="3"/>
  <c r="K62" i="3"/>
  <c r="I62" i="3"/>
  <c r="J62" i="3" s="1"/>
  <c r="O62" i="3" s="1"/>
  <c r="M62" i="10"/>
  <c r="K62" i="10"/>
  <c r="I62" i="10"/>
  <c r="J62" i="10" s="1"/>
  <c r="O62" i="10" s="1"/>
  <c r="N61" i="10"/>
  <c r="M48" i="5" s="1"/>
  <c r="L61" i="10"/>
  <c r="P61" i="10" s="1"/>
  <c r="M20" i="5" s="1"/>
  <c r="N61" i="14"/>
  <c r="M53" i="5" s="1"/>
  <c r="L61" i="14"/>
  <c r="P61" i="14" s="1"/>
  <c r="M25" i="5" s="1"/>
  <c r="N61" i="13"/>
  <c r="M52" i="5" s="1"/>
  <c r="L61" i="13"/>
  <c r="P61" i="13" s="1"/>
  <c r="M24" i="5" s="1"/>
  <c r="Q60" i="10"/>
  <c r="R60" i="9"/>
  <c r="R60" i="11"/>
  <c r="N61" i="9"/>
  <c r="M47" i="5" s="1"/>
  <c r="L61" i="9"/>
  <c r="P61" i="9" s="1"/>
  <c r="M19" i="5" s="1"/>
  <c r="L61" i="15"/>
  <c r="P61" i="15" s="1"/>
  <c r="M26" i="5" s="1"/>
  <c r="N61" i="15"/>
  <c r="M54" i="5" s="1"/>
  <c r="L65" i="1"/>
  <c r="O65" i="1"/>
  <c r="R60" i="8"/>
  <c r="H63" i="8"/>
  <c r="H63" i="12"/>
  <c r="H63" i="13"/>
  <c r="H63" i="9"/>
  <c r="H63" i="10"/>
  <c r="H63" i="14"/>
  <c r="M63" i="4"/>
  <c r="H63" i="6"/>
  <c r="H63" i="11"/>
  <c r="H63" i="3"/>
  <c r="H63" i="15"/>
  <c r="K63" i="4"/>
  <c r="I63" i="4"/>
  <c r="H64" i="4"/>
  <c r="M62" i="8"/>
  <c r="K62" i="8"/>
  <c r="I62" i="8"/>
  <c r="J62" i="8" s="1"/>
  <c r="O62" i="8" s="1"/>
  <c r="N62" i="4"/>
  <c r="L55" i="5" s="1"/>
  <c r="L62" i="4"/>
  <c r="P62" i="4" s="1"/>
  <c r="L27" i="5" s="1"/>
  <c r="M62" i="11"/>
  <c r="K62" i="11"/>
  <c r="I62" i="11"/>
  <c r="J62" i="11" s="1"/>
  <c r="O62" i="11" s="1"/>
  <c r="M62" i="15"/>
  <c r="K62" i="15"/>
  <c r="I62" i="15"/>
  <c r="M62" i="9"/>
  <c r="K62" i="9"/>
  <c r="I62" i="9"/>
  <c r="R60" i="10"/>
  <c r="R60" i="6"/>
  <c r="J61" i="8"/>
  <c r="O61" i="8" s="1"/>
  <c r="J61" i="6"/>
  <c r="O61" i="6" s="1"/>
  <c r="Q60" i="9"/>
  <c r="Q60" i="12"/>
  <c r="R60" i="13"/>
  <c r="Q60" i="8"/>
  <c r="R64" i="1" l="1"/>
  <c r="Q64" i="1"/>
  <c r="N65" i="1"/>
  <c r="Q61" i="11"/>
  <c r="R61" i="11"/>
  <c r="R61" i="6"/>
  <c r="Q61" i="8"/>
  <c r="Q61" i="3"/>
  <c r="R61" i="3"/>
  <c r="R61" i="8"/>
  <c r="Q61" i="6"/>
  <c r="Q61" i="12"/>
  <c r="R61" i="12"/>
  <c r="Q61" i="9"/>
  <c r="N63" i="4"/>
  <c r="K55" i="5" s="1"/>
  <c r="L63" i="4"/>
  <c r="P63" i="4" s="1"/>
  <c r="K27" i="5" s="1"/>
  <c r="M63" i="11"/>
  <c r="K63" i="11"/>
  <c r="I63" i="11"/>
  <c r="J63" i="11" s="1"/>
  <c r="O63" i="11" s="1"/>
  <c r="M63" i="10"/>
  <c r="K63" i="10"/>
  <c r="I63" i="10"/>
  <c r="J63" i="10" s="1"/>
  <c r="O63" i="10" s="1"/>
  <c r="M63" i="12"/>
  <c r="K63" i="12"/>
  <c r="I63" i="12"/>
  <c r="J63" i="12" s="1"/>
  <c r="O63" i="12" s="1"/>
  <c r="R61" i="15"/>
  <c r="R61" i="10"/>
  <c r="L62" i="6"/>
  <c r="P62" i="6" s="1"/>
  <c r="L22" i="5" s="1"/>
  <c r="N62" i="6"/>
  <c r="L50" i="5" s="1"/>
  <c r="N62" i="14"/>
  <c r="L53" i="5" s="1"/>
  <c r="L62" i="14"/>
  <c r="P62" i="14" s="1"/>
  <c r="L25" i="5" s="1"/>
  <c r="N62" i="12"/>
  <c r="L51" i="5" s="1"/>
  <c r="L62" i="12"/>
  <c r="P62" i="12" s="1"/>
  <c r="L23" i="5" s="1"/>
  <c r="L62" i="11"/>
  <c r="P62" i="11" s="1"/>
  <c r="L21" i="5" s="1"/>
  <c r="N62" i="11"/>
  <c r="L49" i="5" s="1"/>
  <c r="M63" i="6"/>
  <c r="K63" i="6"/>
  <c r="I63" i="6"/>
  <c r="J63" i="4"/>
  <c r="O63" i="4" s="1"/>
  <c r="M63" i="8"/>
  <c r="K63" i="8"/>
  <c r="I63" i="8"/>
  <c r="Q61" i="14"/>
  <c r="L62" i="13"/>
  <c r="P62" i="13" s="1"/>
  <c r="L24" i="5" s="1"/>
  <c r="N62" i="13"/>
  <c r="L52" i="5" s="1"/>
  <c r="R62" i="4"/>
  <c r="N62" i="15"/>
  <c r="L54" i="5" s="1"/>
  <c r="L62" i="15"/>
  <c r="P62" i="15" s="1"/>
  <c r="L26" i="5" s="1"/>
  <c r="M63" i="15"/>
  <c r="K63" i="15"/>
  <c r="I63" i="15"/>
  <c r="J63" i="15" s="1"/>
  <c r="O63" i="15" s="1"/>
  <c r="M63" i="9"/>
  <c r="K63" i="9"/>
  <c r="I63" i="9"/>
  <c r="J63" i="9" s="1"/>
  <c r="O63" i="9" s="1"/>
  <c r="L62" i="10"/>
  <c r="P62" i="10" s="1"/>
  <c r="L20" i="5" s="1"/>
  <c r="N62" i="10"/>
  <c r="L48" i="5" s="1"/>
  <c r="L62" i="3"/>
  <c r="P62" i="3" s="1"/>
  <c r="L17" i="5" s="1"/>
  <c r="N62" i="3"/>
  <c r="L45" i="5" s="1"/>
  <c r="M67" i="1"/>
  <c r="K67" i="1"/>
  <c r="I67" i="1"/>
  <c r="J67" i="1" s="1"/>
  <c r="P67" i="1" s="1"/>
  <c r="H68" i="1"/>
  <c r="R61" i="9"/>
  <c r="R61" i="14"/>
  <c r="Q62" i="4"/>
  <c r="Q61" i="13"/>
  <c r="J62" i="6"/>
  <c r="O62" i="6" s="1"/>
  <c r="L62" i="9"/>
  <c r="P62" i="9" s="1"/>
  <c r="L19" i="5" s="1"/>
  <c r="N62" i="9"/>
  <c r="L47" i="5" s="1"/>
  <c r="J62" i="9"/>
  <c r="O62" i="9" s="1"/>
  <c r="J62" i="15"/>
  <c r="O62" i="15" s="1"/>
  <c r="N62" i="8"/>
  <c r="L46" i="5" s="1"/>
  <c r="L62" i="8"/>
  <c r="P62" i="8" s="1"/>
  <c r="L18" i="5" s="1"/>
  <c r="H64" i="9"/>
  <c r="H64" i="11"/>
  <c r="H64" i="3"/>
  <c r="M64" i="4"/>
  <c r="H64" i="10"/>
  <c r="H64" i="12"/>
  <c r="H64" i="6"/>
  <c r="H64" i="13"/>
  <c r="H64" i="14"/>
  <c r="H64" i="8"/>
  <c r="H64" i="15"/>
  <c r="K64" i="4"/>
  <c r="I64" i="4"/>
  <c r="H65" i="4"/>
  <c r="M63" i="3"/>
  <c r="K63" i="3"/>
  <c r="I63" i="3"/>
  <c r="J63" i="3" s="1"/>
  <c r="O63" i="3" s="1"/>
  <c r="M63" i="14"/>
  <c r="K63" i="14"/>
  <c r="I63" i="14"/>
  <c r="M63" i="13"/>
  <c r="K63" i="13"/>
  <c r="I63" i="13"/>
  <c r="L66" i="1"/>
  <c r="O66" i="1"/>
  <c r="Q61" i="15"/>
  <c r="Q61" i="10"/>
  <c r="J62" i="13"/>
  <c r="O62" i="13" s="1"/>
  <c r="R61" i="13"/>
  <c r="J62" i="14"/>
  <c r="O62" i="14" s="1"/>
  <c r="J62" i="12"/>
  <c r="O62" i="12" s="1"/>
  <c r="Q65" i="1" l="1"/>
  <c r="R65" i="1"/>
  <c r="N66" i="1"/>
  <c r="R62" i="6"/>
  <c r="Q62" i="6"/>
  <c r="Q62" i="12"/>
  <c r="R62" i="14"/>
  <c r="Q62" i="14"/>
  <c r="Q63" i="4"/>
  <c r="R63" i="4"/>
  <c r="Q62" i="11"/>
  <c r="Q62" i="8"/>
  <c r="R62" i="12"/>
  <c r="R62" i="11"/>
  <c r="L63" i="15"/>
  <c r="P63" i="15" s="1"/>
  <c r="K26" i="5" s="1"/>
  <c r="N63" i="15"/>
  <c r="K54" i="5" s="1"/>
  <c r="Q62" i="3"/>
  <c r="L63" i="8"/>
  <c r="P63" i="8" s="1"/>
  <c r="K18" i="5" s="1"/>
  <c r="N63" i="8"/>
  <c r="K46" i="5" s="1"/>
  <c r="Q62" i="15"/>
  <c r="L63" i="14"/>
  <c r="P63" i="14" s="1"/>
  <c r="K25" i="5" s="1"/>
  <c r="N63" i="14"/>
  <c r="K53" i="5" s="1"/>
  <c r="H65" i="6"/>
  <c r="M65" i="4"/>
  <c r="H65" i="15"/>
  <c r="H65" i="9"/>
  <c r="H65" i="10"/>
  <c r="H65" i="14"/>
  <c r="H65" i="12"/>
  <c r="H65" i="8"/>
  <c r="H65" i="3"/>
  <c r="H65" i="13"/>
  <c r="H65" i="11"/>
  <c r="K65" i="4"/>
  <c r="I65" i="4"/>
  <c r="H66" i="4"/>
  <c r="N64" i="4"/>
  <c r="J55" i="5" s="1"/>
  <c r="L64" i="4"/>
  <c r="P64" i="4" s="1"/>
  <c r="J27" i="5" s="1"/>
  <c r="M64" i="14"/>
  <c r="K64" i="14"/>
  <c r="I64" i="14"/>
  <c r="J64" i="14" s="1"/>
  <c r="O64" i="14" s="1"/>
  <c r="M64" i="10"/>
  <c r="K64" i="10"/>
  <c r="I64" i="10"/>
  <c r="J64" i="10" s="1"/>
  <c r="O64" i="10" s="1"/>
  <c r="M64" i="9"/>
  <c r="K64" i="9"/>
  <c r="I64" i="9"/>
  <c r="J64" i="9" s="1"/>
  <c r="O64" i="9" s="1"/>
  <c r="M64" i="13"/>
  <c r="K64" i="13"/>
  <c r="I64" i="13"/>
  <c r="J64" i="13" s="1"/>
  <c r="O64" i="13" s="1"/>
  <c r="J64" i="4"/>
  <c r="O64" i="4" s="1"/>
  <c r="R62" i="8"/>
  <c r="M68" i="1"/>
  <c r="K68" i="1"/>
  <c r="I68" i="1"/>
  <c r="J68" i="1" s="1"/>
  <c r="P68" i="1" s="1"/>
  <c r="R62" i="3"/>
  <c r="L63" i="6"/>
  <c r="P63" i="6" s="1"/>
  <c r="K22" i="5" s="1"/>
  <c r="N63" i="6"/>
  <c r="K50" i="5" s="1"/>
  <c r="R62" i="15"/>
  <c r="N63" i="13"/>
  <c r="K52" i="5" s="1"/>
  <c r="L63" i="13"/>
  <c r="P63" i="13" s="1"/>
  <c r="K24" i="5" s="1"/>
  <c r="N63" i="3"/>
  <c r="K45" i="5" s="1"/>
  <c r="L63" i="3"/>
  <c r="P63" i="3" s="1"/>
  <c r="K17" i="5" s="1"/>
  <c r="M64" i="8"/>
  <c r="K64" i="8"/>
  <c r="I64" i="8"/>
  <c r="J64" i="8" s="1"/>
  <c r="O64" i="8" s="1"/>
  <c r="M64" i="12"/>
  <c r="K64" i="12"/>
  <c r="I64" i="12"/>
  <c r="J64" i="12" s="1"/>
  <c r="O64" i="12" s="1"/>
  <c r="M64" i="11"/>
  <c r="K64" i="11"/>
  <c r="I64" i="11"/>
  <c r="J64" i="11" s="1"/>
  <c r="O64" i="11" s="1"/>
  <c r="J63" i="13"/>
  <c r="O63" i="13" s="1"/>
  <c r="J63" i="14"/>
  <c r="O63" i="14" s="1"/>
  <c r="M64" i="15"/>
  <c r="K64" i="15"/>
  <c r="I64" i="15"/>
  <c r="J64" i="15" s="1"/>
  <c r="O64" i="15" s="1"/>
  <c r="M64" i="6"/>
  <c r="K64" i="6"/>
  <c r="I64" i="6"/>
  <c r="J64" i="6" s="1"/>
  <c r="O64" i="6" s="1"/>
  <c r="M64" i="3"/>
  <c r="K64" i="3"/>
  <c r="I64" i="3"/>
  <c r="J64" i="3" s="1"/>
  <c r="O64" i="3" s="1"/>
  <c r="L67" i="1"/>
  <c r="O67" i="1"/>
  <c r="N63" i="9"/>
  <c r="K47" i="5" s="1"/>
  <c r="L63" i="9"/>
  <c r="P63" i="9" s="1"/>
  <c r="K19" i="5" s="1"/>
  <c r="Q62" i="10"/>
  <c r="R62" i="13"/>
  <c r="N63" i="12"/>
  <c r="K51" i="5" s="1"/>
  <c r="L63" i="12"/>
  <c r="P63" i="12" s="1"/>
  <c r="K23" i="5" s="1"/>
  <c r="L63" i="10"/>
  <c r="P63" i="10" s="1"/>
  <c r="K20" i="5" s="1"/>
  <c r="N63" i="10"/>
  <c r="K48" i="5" s="1"/>
  <c r="L63" i="11"/>
  <c r="P63" i="11" s="1"/>
  <c r="K21" i="5" s="1"/>
  <c r="N63" i="11"/>
  <c r="K49" i="5" s="1"/>
  <c r="R62" i="9"/>
  <c r="R62" i="10"/>
  <c r="J63" i="8"/>
  <c r="O63" i="8" s="1"/>
  <c r="J63" i="6"/>
  <c r="O63" i="6" s="1"/>
  <c r="Q62" i="13"/>
  <c r="Q62" i="9"/>
  <c r="R66" i="1" l="1"/>
  <c r="Q66" i="1"/>
  <c r="N67" i="1"/>
  <c r="Q63" i="15"/>
  <c r="R63" i="8"/>
  <c r="R63" i="15"/>
  <c r="R63" i="3"/>
  <c r="R64" i="4"/>
  <c r="R63" i="14"/>
  <c r="Q64" i="4"/>
  <c r="Q63" i="8"/>
  <c r="Q63" i="3"/>
  <c r="R63" i="11"/>
  <c r="Q63" i="6"/>
  <c r="M65" i="12"/>
  <c r="K65" i="12"/>
  <c r="I65" i="12"/>
  <c r="M65" i="9"/>
  <c r="K65" i="9"/>
  <c r="I65" i="9"/>
  <c r="Q63" i="12"/>
  <c r="Q63" i="13"/>
  <c r="H66" i="10"/>
  <c r="M66" i="4"/>
  <c r="H66" i="14"/>
  <c r="H66" i="12"/>
  <c r="H66" i="8"/>
  <c r="H66" i="13"/>
  <c r="H66" i="11"/>
  <c r="H66" i="6"/>
  <c r="H66" i="15"/>
  <c r="H66" i="3"/>
  <c r="H66" i="9"/>
  <c r="K66" i="4"/>
  <c r="I66" i="4"/>
  <c r="H67" i="4"/>
  <c r="M65" i="13"/>
  <c r="K65" i="13"/>
  <c r="I65" i="13"/>
  <c r="J65" i="13" s="1"/>
  <c r="O65" i="13" s="1"/>
  <c r="M65" i="14"/>
  <c r="K65" i="14"/>
  <c r="I65" i="14"/>
  <c r="J65" i="14" s="1"/>
  <c r="O65" i="14" s="1"/>
  <c r="M65" i="15"/>
  <c r="K65" i="15"/>
  <c r="I65" i="15"/>
  <c r="J65" i="15" s="1"/>
  <c r="O65" i="15" s="1"/>
  <c r="Q63" i="10"/>
  <c r="R63" i="12"/>
  <c r="R63" i="13"/>
  <c r="L65" i="4"/>
  <c r="P65" i="4" s="1"/>
  <c r="I27" i="5" s="1"/>
  <c r="N65" i="4"/>
  <c r="I55" i="5" s="1"/>
  <c r="M65" i="3"/>
  <c r="K65" i="3"/>
  <c r="I65" i="3"/>
  <c r="J65" i="4"/>
  <c r="O65" i="4" s="1"/>
  <c r="R63" i="10"/>
  <c r="Q63" i="9"/>
  <c r="M65" i="11"/>
  <c r="K65" i="11"/>
  <c r="I65" i="11"/>
  <c r="J65" i="11" s="1"/>
  <c r="O65" i="11" s="1"/>
  <c r="N64" i="3"/>
  <c r="J45" i="5" s="1"/>
  <c r="L64" i="3"/>
  <c r="P64" i="3" s="1"/>
  <c r="J17" i="5" s="1"/>
  <c r="N64" i="6"/>
  <c r="J50" i="5" s="1"/>
  <c r="L64" i="6"/>
  <c r="P64" i="6" s="1"/>
  <c r="J22" i="5" s="1"/>
  <c r="L64" i="15"/>
  <c r="P64" i="15" s="1"/>
  <c r="J26" i="5" s="1"/>
  <c r="N64" i="15"/>
  <c r="J54" i="5" s="1"/>
  <c r="N64" i="11"/>
  <c r="J49" i="5" s="1"/>
  <c r="L64" i="11"/>
  <c r="P64" i="11" s="1"/>
  <c r="J21" i="5" s="1"/>
  <c r="L64" i="12"/>
  <c r="P64" i="12" s="1"/>
  <c r="J23" i="5" s="1"/>
  <c r="N64" i="12"/>
  <c r="J51" i="5" s="1"/>
  <c r="N64" i="8"/>
  <c r="J46" i="5" s="1"/>
  <c r="L64" i="8"/>
  <c r="P64" i="8" s="1"/>
  <c r="J18" i="5" s="1"/>
  <c r="O68" i="1"/>
  <c r="L68" i="1"/>
  <c r="N64" i="13"/>
  <c r="J52" i="5" s="1"/>
  <c r="L64" i="13"/>
  <c r="P64" i="13" s="1"/>
  <c r="J24" i="5" s="1"/>
  <c r="Q63" i="14"/>
  <c r="L64" i="9"/>
  <c r="P64" i="9" s="1"/>
  <c r="J19" i="5" s="1"/>
  <c r="N64" i="9"/>
  <c r="J47" i="5" s="1"/>
  <c r="N64" i="10"/>
  <c r="J48" i="5" s="1"/>
  <c r="L64" i="10"/>
  <c r="P64" i="10" s="1"/>
  <c r="J20" i="5" s="1"/>
  <c r="N64" i="14"/>
  <c r="J53" i="5" s="1"/>
  <c r="L64" i="14"/>
  <c r="P64" i="14" s="1"/>
  <c r="J25" i="5" s="1"/>
  <c r="M65" i="8"/>
  <c r="K65" i="8"/>
  <c r="I65" i="8"/>
  <c r="M65" i="10"/>
  <c r="K65" i="10"/>
  <c r="I65" i="10"/>
  <c r="J65" i="10" s="1"/>
  <c r="O65" i="10" s="1"/>
  <c r="M65" i="6"/>
  <c r="K65" i="6"/>
  <c r="I65" i="6"/>
  <c r="Q63" i="11"/>
  <c r="R63" i="6"/>
  <c r="R63" i="9"/>
  <c r="Q67" i="1" l="1"/>
  <c r="R67" i="1"/>
  <c r="N68" i="1"/>
  <c r="R65" i="4"/>
  <c r="R64" i="15"/>
  <c r="Q64" i="3"/>
  <c r="L65" i="8"/>
  <c r="P65" i="8" s="1"/>
  <c r="I18" i="5" s="1"/>
  <c r="N65" i="8"/>
  <c r="I46" i="5" s="1"/>
  <c r="L65" i="3"/>
  <c r="P65" i="3" s="1"/>
  <c r="I17" i="5" s="1"/>
  <c r="N65" i="3"/>
  <c r="I45" i="5" s="1"/>
  <c r="Q64" i="9"/>
  <c r="R64" i="13"/>
  <c r="N66" i="4"/>
  <c r="H55" i="5" s="1"/>
  <c r="L66" i="4"/>
  <c r="P66" i="4" s="1"/>
  <c r="H27" i="5" s="1"/>
  <c r="M66" i="3"/>
  <c r="K66" i="3"/>
  <c r="I66" i="3"/>
  <c r="M66" i="13"/>
  <c r="K66" i="13"/>
  <c r="I66" i="13"/>
  <c r="Q64" i="8"/>
  <c r="N65" i="9"/>
  <c r="I47" i="5" s="1"/>
  <c r="L65" i="9"/>
  <c r="P65" i="9" s="1"/>
  <c r="I19" i="5" s="1"/>
  <c r="N65" i="12"/>
  <c r="I51" i="5" s="1"/>
  <c r="L65" i="12"/>
  <c r="P65" i="12" s="1"/>
  <c r="I23" i="5" s="1"/>
  <c r="N65" i="6"/>
  <c r="I50" i="5" s="1"/>
  <c r="L65" i="6"/>
  <c r="P65" i="6" s="1"/>
  <c r="I22" i="5" s="1"/>
  <c r="R64" i="9"/>
  <c r="R64" i="11"/>
  <c r="Q64" i="6"/>
  <c r="M66" i="15"/>
  <c r="K66" i="15"/>
  <c r="I66" i="15"/>
  <c r="M66" i="8"/>
  <c r="K66" i="8"/>
  <c r="I66" i="8"/>
  <c r="M66" i="10"/>
  <c r="K66" i="10"/>
  <c r="I66" i="10"/>
  <c r="R64" i="8"/>
  <c r="J65" i="6"/>
  <c r="O65" i="6" s="1"/>
  <c r="J65" i="8"/>
  <c r="O65" i="8" s="1"/>
  <c r="Q65" i="4"/>
  <c r="J65" i="3"/>
  <c r="O65" i="3" s="1"/>
  <c r="R64" i="14"/>
  <c r="Q64" i="11"/>
  <c r="R64" i="6"/>
  <c r="J66" i="4"/>
  <c r="O66" i="4" s="1"/>
  <c r="M66" i="6"/>
  <c r="K66" i="6"/>
  <c r="I66" i="6"/>
  <c r="J66" i="6" s="1"/>
  <c r="O66" i="6" s="1"/>
  <c r="M66" i="12"/>
  <c r="K66" i="12"/>
  <c r="I66" i="12"/>
  <c r="J66" i="12" s="1"/>
  <c r="O66" i="12" s="1"/>
  <c r="R64" i="10"/>
  <c r="Q64" i="12"/>
  <c r="J65" i="12"/>
  <c r="O65" i="12" s="1"/>
  <c r="N65" i="10"/>
  <c r="I48" i="5" s="1"/>
  <c r="L65" i="10"/>
  <c r="P65" i="10" s="1"/>
  <c r="I20" i="5" s="1"/>
  <c r="L65" i="11"/>
  <c r="P65" i="11" s="1"/>
  <c r="I21" i="5" s="1"/>
  <c r="N65" i="11"/>
  <c r="I49" i="5" s="1"/>
  <c r="Q64" i="14"/>
  <c r="Q64" i="13"/>
  <c r="Q64" i="15"/>
  <c r="R64" i="3"/>
  <c r="N65" i="15"/>
  <c r="I54" i="5" s="1"/>
  <c r="L65" i="15"/>
  <c r="P65" i="15" s="1"/>
  <c r="I26" i="5" s="1"/>
  <c r="N65" i="14"/>
  <c r="I53" i="5" s="1"/>
  <c r="L65" i="14"/>
  <c r="P65" i="14" s="1"/>
  <c r="I25" i="5" s="1"/>
  <c r="N65" i="13"/>
  <c r="I52" i="5" s="1"/>
  <c r="L65" i="13"/>
  <c r="P65" i="13" s="1"/>
  <c r="I24" i="5" s="1"/>
  <c r="M67" i="4"/>
  <c r="H67" i="8"/>
  <c r="H67" i="13"/>
  <c r="H67" i="14"/>
  <c r="H67" i="10"/>
  <c r="H67" i="15"/>
  <c r="H67" i="9"/>
  <c r="H67" i="11"/>
  <c r="H67" i="12"/>
  <c r="H67" i="3"/>
  <c r="H67" i="6"/>
  <c r="K67" i="4"/>
  <c r="I67" i="4"/>
  <c r="J67" i="4" s="1"/>
  <c r="O67" i="4" s="1"/>
  <c r="H68" i="4"/>
  <c r="M66" i="9"/>
  <c r="K66" i="9"/>
  <c r="I66" i="9"/>
  <c r="M66" i="11"/>
  <c r="K66" i="11"/>
  <c r="I66" i="11"/>
  <c r="M66" i="14"/>
  <c r="K66" i="14"/>
  <c r="I66" i="14"/>
  <c r="Q64" i="10"/>
  <c r="R64" i="12"/>
  <c r="J65" i="9"/>
  <c r="O65" i="9" s="1"/>
  <c r="Q68" i="1" l="1"/>
  <c r="R68" i="1"/>
  <c r="Q65" i="12"/>
  <c r="Q65" i="3"/>
  <c r="R65" i="12"/>
  <c r="R65" i="3"/>
  <c r="R65" i="6"/>
  <c r="R65" i="9"/>
  <c r="Q65" i="9"/>
  <c r="R65" i="8"/>
  <c r="Q65" i="8"/>
  <c r="Q65" i="6"/>
  <c r="Q65" i="10"/>
  <c r="R65" i="14"/>
  <c r="R65" i="10"/>
  <c r="L66" i="14"/>
  <c r="P66" i="14" s="1"/>
  <c r="H25" i="5" s="1"/>
  <c r="N66" i="14"/>
  <c r="H53" i="5" s="1"/>
  <c r="M67" i="13"/>
  <c r="K67" i="13"/>
  <c r="I67" i="13"/>
  <c r="J67" i="13" s="1"/>
  <c r="O67" i="13" s="1"/>
  <c r="N66" i="10"/>
  <c r="H48" i="5" s="1"/>
  <c r="L66" i="10"/>
  <c r="P66" i="10" s="1"/>
  <c r="H20" i="5" s="1"/>
  <c r="N66" i="8"/>
  <c r="H46" i="5" s="1"/>
  <c r="L66" i="8"/>
  <c r="P66" i="8" s="1"/>
  <c r="H18" i="5" s="1"/>
  <c r="N66" i="15"/>
  <c r="H54" i="5" s="1"/>
  <c r="L66" i="15"/>
  <c r="P66" i="15" s="1"/>
  <c r="H26" i="5" s="1"/>
  <c r="Q65" i="13"/>
  <c r="L66" i="13"/>
  <c r="P66" i="13" s="1"/>
  <c r="H24" i="5" s="1"/>
  <c r="N66" i="13"/>
  <c r="H52" i="5" s="1"/>
  <c r="N66" i="3"/>
  <c r="H45" i="5" s="1"/>
  <c r="L66" i="3"/>
  <c r="P66" i="3" s="1"/>
  <c r="H17" i="5" s="1"/>
  <c r="L66" i="9"/>
  <c r="P66" i="9" s="1"/>
  <c r="H19" i="5" s="1"/>
  <c r="N66" i="9"/>
  <c r="H47" i="5" s="1"/>
  <c r="M67" i="3"/>
  <c r="K67" i="3"/>
  <c r="I67" i="3"/>
  <c r="J67" i="3" s="1"/>
  <c r="O67" i="3" s="1"/>
  <c r="M67" i="15"/>
  <c r="K67" i="15"/>
  <c r="I67" i="15"/>
  <c r="J67" i="15" s="1"/>
  <c r="O67" i="15" s="1"/>
  <c r="M67" i="8"/>
  <c r="K67" i="8"/>
  <c r="I67" i="8"/>
  <c r="J67" i="8" s="1"/>
  <c r="O67" i="8" s="1"/>
  <c r="R65" i="13"/>
  <c r="L67" i="4"/>
  <c r="P67" i="4" s="1"/>
  <c r="G27" i="5" s="1"/>
  <c r="N67" i="4"/>
  <c r="G55" i="5" s="1"/>
  <c r="M67" i="12"/>
  <c r="K67" i="12"/>
  <c r="I67" i="12"/>
  <c r="M67" i="10"/>
  <c r="K67" i="10"/>
  <c r="I67" i="10"/>
  <c r="L66" i="12"/>
  <c r="P66" i="12" s="1"/>
  <c r="H23" i="5" s="1"/>
  <c r="N66" i="12"/>
  <c r="H51" i="5" s="1"/>
  <c r="L66" i="6"/>
  <c r="P66" i="6" s="1"/>
  <c r="H22" i="5" s="1"/>
  <c r="N66" i="6"/>
  <c r="H50" i="5" s="1"/>
  <c r="R65" i="11"/>
  <c r="Q65" i="15"/>
  <c r="R66" i="4"/>
  <c r="J66" i="3"/>
  <c r="O66" i="3" s="1"/>
  <c r="N66" i="11"/>
  <c r="H49" i="5" s="1"/>
  <c r="L66" i="11"/>
  <c r="P66" i="11" s="1"/>
  <c r="H21" i="5" s="1"/>
  <c r="H68" i="11"/>
  <c r="H68" i="13"/>
  <c r="H68" i="6"/>
  <c r="H68" i="15"/>
  <c r="H68" i="3"/>
  <c r="H68" i="14"/>
  <c r="H68" i="8"/>
  <c r="H68" i="10"/>
  <c r="H68" i="9"/>
  <c r="M68" i="4"/>
  <c r="H68" i="12"/>
  <c r="K68" i="4"/>
  <c r="I68" i="4"/>
  <c r="M67" i="9"/>
  <c r="K67" i="9"/>
  <c r="I67" i="9"/>
  <c r="J67" i="9" s="1"/>
  <c r="O67" i="9" s="1"/>
  <c r="J66" i="14"/>
  <c r="O66" i="14" s="1"/>
  <c r="J66" i="11"/>
  <c r="O66" i="11" s="1"/>
  <c r="J66" i="9"/>
  <c r="O66" i="9" s="1"/>
  <c r="M67" i="6"/>
  <c r="K67" i="6"/>
  <c r="I67" i="6"/>
  <c r="J67" i="6" s="1"/>
  <c r="O67" i="6" s="1"/>
  <c r="M67" i="11"/>
  <c r="K67" i="11"/>
  <c r="I67" i="11"/>
  <c r="M67" i="14"/>
  <c r="K67" i="14"/>
  <c r="I67" i="14"/>
  <c r="J67" i="14" s="1"/>
  <c r="O67" i="14" s="1"/>
  <c r="Q65" i="14"/>
  <c r="Q65" i="11"/>
  <c r="J66" i="10"/>
  <c r="O66" i="10" s="1"/>
  <c r="J66" i="8"/>
  <c r="O66" i="8" s="1"/>
  <c r="J66" i="15"/>
  <c r="O66" i="15" s="1"/>
  <c r="R65" i="15"/>
  <c r="Q66" i="4"/>
  <c r="J66" i="13"/>
  <c r="O66" i="13" s="1"/>
  <c r="R66" i="3" l="1"/>
  <c r="Q66" i="3"/>
  <c r="Q66" i="10"/>
  <c r="R66" i="10"/>
  <c r="R66" i="15"/>
  <c r="Q66" i="15"/>
  <c r="R66" i="13"/>
  <c r="Q66" i="14"/>
  <c r="Q66" i="13"/>
  <c r="R66" i="14"/>
  <c r="Q66" i="8"/>
  <c r="Q67" i="4"/>
  <c r="Q66" i="9"/>
  <c r="R66" i="8"/>
  <c r="R67" i="4"/>
  <c r="R66" i="9"/>
  <c r="L67" i="11"/>
  <c r="P67" i="11" s="1"/>
  <c r="G21" i="5" s="1"/>
  <c r="N67" i="11"/>
  <c r="G49" i="5" s="1"/>
  <c r="M68" i="10"/>
  <c r="K68" i="10"/>
  <c r="I68" i="10"/>
  <c r="J68" i="10" s="1"/>
  <c r="O68" i="10" s="1"/>
  <c r="N67" i="10"/>
  <c r="G48" i="5" s="1"/>
  <c r="L67" i="10"/>
  <c r="P67" i="10" s="1"/>
  <c r="G20" i="5" s="1"/>
  <c r="N67" i="12"/>
  <c r="G51" i="5" s="1"/>
  <c r="L67" i="12"/>
  <c r="P67" i="12" s="1"/>
  <c r="G23" i="5" s="1"/>
  <c r="Q66" i="12"/>
  <c r="M68" i="12"/>
  <c r="K68" i="12"/>
  <c r="I68" i="12"/>
  <c r="M68" i="15"/>
  <c r="K68" i="15"/>
  <c r="I68" i="15"/>
  <c r="J67" i="11"/>
  <c r="O67" i="11" s="1"/>
  <c r="M68" i="8"/>
  <c r="K68" i="8"/>
  <c r="I68" i="8"/>
  <c r="J68" i="8" s="1"/>
  <c r="O68" i="8" s="1"/>
  <c r="M68" i="6"/>
  <c r="K68" i="6"/>
  <c r="I68" i="6"/>
  <c r="J68" i="6" s="1"/>
  <c r="O68" i="6" s="1"/>
  <c r="R66" i="6"/>
  <c r="Q67" i="11"/>
  <c r="N67" i="9"/>
  <c r="G47" i="5" s="1"/>
  <c r="L67" i="9"/>
  <c r="P67" i="9" s="1"/>
  <c r="G19" i="5" s="1"/>
  <c r="L68" i="4"/>
  <c r="P68" i="4" s="1"/>
  <c r="F27" i="5" s="1"/>
  <c r="N68" i="4"/>
  <c r="F55" i="5" s="1"/>
  <c r="M68" i="9"/>
  <c r="K68" i="9"/>
  <c r="I68" i="9"/>
  <c r="J68" i="9" s="1"/>
  <c r="O68" i="9" s="1"/>
  <c r="M68" i="14"/>
  <c r="K68" i="14"/>
  <c r="I68" i="14"/>
  <c r="J68" i="14" s="1"/>
  <c r="O68" i="14" s="1"/>
  <c r="M68" i="13"/>
  <c r="K68" i="13"/>
  <c r="I68" i="13"/>
  <c r="J68" i="13" s="1"/>
  <c r="O68" i="13" s="1"/>
  <c r="J67" i="10"/>
  <c r="O67" i="10" s="1"/>
  <c r="R66" i="11"/>
  <c r="Q66" i="6"/>
  <c r="N67" i="13"/>
  <c r="G52" i="5" s="1"/>
  <c r="L67" i="13"/>
  <c r="P67" i="13" s="1"/>
  <c r="G24" i="5" s="1"/>
  <c r="N67" i="14"/>
  <c r="G53" i="5" s="1"/>
  <c r="L67" i="14"/>
  <c r="P67" i="14" s="1"/>
  <c r="G25" i="5" s="1"/>
  <c r="N67" i="6"/>
  <c r="G50" i="5" s="1"/>
  <c r="L67" i="6"/>
  <c r="P67" i="6" s="1"/>
  <c r="G22" i="5" s="1"/>
  <c r="J68" i="4"/>
  <c r="O68" i="4" s="1"/>
  <c r="M68" i="3"/>
  <c r="K68" i="3"/>
  <c r="I68" i="3"/>
  <c r="J68" i="3" s="1"/>
  <c r="O68" i="3" s="1"/>
  <c r="M68" i="11"/>
  <c r="K68" i="11"/>
  <c r="I68" i="11"/>
  <c r="J68" i="11" s="1"/>
  <c r="O68" i="11" s="1"/>
  <c r="J67" i="12"/>
  <c r="O67" i="12" s="1"/>
  <c r="Q66" i="11"/>
  <c r="L67" i="8"/>
  <c r="P67" i="8" s="1"/>
  <c r="G18" i="5" s="1"/>
  <c r="N67" i="8"/>
  <c r="G46" i="5" s="1"/>
  <c r="L67" i="15"/>
  <c r="P67" i="15" s="1"/>
  <c r="G26" i="5" s="1"/>
  <c r="N67" i="15"/>
  <c r="G54" i="5" s="1"/>
  <c r="L67" i="3"/>
  <c r="P67" i="3" s="1"/>
  <c r="G17" i="5" s="1"/>
  <c r="N67" i="3"/>
  <c r="G45" i="5" s="1"/>
  <c r="R66" i="12"/>
  <c r="Q67" i="10" l="1"/>
  <c r="Q67" i="12"/>
  <c r="R67" i="10"/>
  <c r="R67" i="12"/>
  <c r="R67" i="11"/>
  <c r="Q68" i="4"/>
  <c r="R67" i="15"/>
  <c r="Q67" i="6"/>
  <c r="R67" i="13"/>
  <c r="Q67" i="8"/>
  <c r="Q67" i="9"/>
  <c r="Q67" i="14"/>
  <c r="N68" i="11"/>
  <c r="F49" i="5" s="1"/>
  <c r="L68" i="11"/>
  <c r="P68" i="11" s="1"/>
  <c r="F21" i="5" s="1"/>
  <c r="N68" i="3"/>
  <c r="F45" i="5" s="1"/>
  <c r="L68" i="3"/>
  <c r="P68" i="3" s="1"/>
  <c r="F17" i="5" s="1"/>
  <c r="Q67" i="15"/>
  <c r="R67" i="3"/>
  <c r="R67" i="9"/>
  <c r="N68" i="15"/>
  <c r="F54" i="5" s="1"/>
  <c r="L68" i="15"/>
  <c r="P68" i="15" s="1"/>
  <c r="F26" i="5" s="1"/>
  <c r="N68" i="12"/>
  <c r="F51" i="5" s="1"/>
  <c r="L68" i="12"/>
  <c r="P68" i="12" s="1"/>
  <c r="F23" i="5" s="1"/>
  <c r="Q67" i="3"/>
  <c r="L68" i="6"/>
  <c r="P68" i="6" s="1"/>
  <c r="F22" i="5" s="1"/>
  <c r="N68" i="6"/>
  <c r="F50" i="5" s="1"/>
  <c r="N68" i="8"/>
  <c r="F46" i="5" s="1"/>
  <c r="L68" i="8"/>
  <c r="P68" i="8" s="1"/>
  <c r="F18" i="5" s="1"/>
  <c r="L68" i="10"/>
  <c r="P68" i="10" s="1"/>
  <c r="F20" i="5" s="1"/>
  <c r="N68" i="10"/>
  <c r="F48" i="5" s="1"/>
  <c r="L68" i="13"/>
  <c r="P68" i="13" s="1"/>
  <c r="F24" i="5" s="1"/>
  <c r="N68" i="13"/>
  <c r="F52" i="5" s="1"/>
  <c r="N68" i="14"/>
  <c r="F53" i="5" s="1"/>
  <c r="L68" i="14"/>
  <c r="P68" i="14" s="1"/>
  <c r="F25" i="5" s="1"/>
  <c r="N68" i="9"/>
  <c r="F47" i="5" s="1"/>
  <c r="L68" i="9"/>
  <c r="P68" i="9" s="1"/>
  <c r="F19" i="5" s="1"/>
  <c r="R67" i="6"/>
  <c r="Q67" i="13"/>
  <c r="R67" i="8"/>
  <c r="R68" i="4"/>
  <c r="R67" i="14"/>
  <c r="J68" i="15"/>
  <c r="O68" i="15" s="1"/>
  <c r="J68" i="12"/>
  <c r="O68" i="12" s="1"/>
  <c r="Q68" i="9" l="1"/>
  <c r="R68" i="8"/>
  <c r="R68" i="13"/>
  <c r="R68" i="15"/>
  <c r="R68" i="3"/>
  <c r="Q68" i="10"/>
  <c r="Q68" i="8"/>
  <c r="R68" i="14"/>
  <c r="Q68" i="15"/>
  <c r="Q68" i="3"/>
  <c r="R68" i="10"/>
  <c r="Q68" i="6"/>
  <c r="Q68" i="14"/>
  <c r="Q68" i="12"/>
  <c r="Q68" i="11"/>
  <c r="R68" i="9"/>
  <c r="R68" i="6"/>
  <c r="Q68" i="13"/>
  <c r="R68" i="12"/>
  <c r="R6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Vdc_Min for Ii calculation. Used to open the loop of Ii dependency of Vdc and Vdc dependency of Ii
</t>
        </r>
      </text>
    </comment>
    <comment ref="B2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Esta tabla tiene que estar siempre ordenada de menor a mayor(de A a Z)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P_max no se da con reactiva 0 a la salida, por lo que el PF a la salida no es 1. La potencia es algo mayor que la rated porque la tension en bornas del stack de potencia es tb algo mayor</t>
        </r>
      </text>
    </comment>
    <comment ref="B25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 xml:space="preserve">IF YES = '1' / NO = '0'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<sst xmlns="http://schemas.openxmlformats.org/spreadsheetml/2006/main" count="1009" uniqueCount="199">
  <si>
    <t>Height (m)</t>
  </si>
  <si>
    <t>f(Hz)</t>
  </si>
  <si>
    <t>P (W)</t>
  </si>
  <si>
    <t>Q _Ii(VAr)</t>
  </si>
  <si>
    <t>Q_Vdc (Var)</t>
  </si>
  <si>
    <t>Q(Var)</t>
  </si>
  <si>
    <t>P(kW)</t>
  </si>
  <si>
    <t>k1 (wg)</t>
  </si>
  <si>
    <t>k2 (wg)</t>
  </si>
  <si>
    <t>k3 (wg)</t>
  </si>
  <si>
    <t>k4 (wg)</t>
  </si>
  <si>
    <t>Nm: Number of modules</t>
  </si>
  <si>
    <t>cos fi</t>
  </si>
  <si>
    <t>S(kVA)</t>
  </si>
  <si>
    <t>Q(kVAr)</t>
  </si>
  <si>
    <t>Capacitive</t>
  </si>
  <si>
    <t>Inductive</t>
  </si>
  <si>
    <t>Vi_need</t>
  </si>
  <si>
    <t>Q_Ii(kVAr)</t>
  </si>
  <si>
    <t>Vdc_min (V)</t>
  </si>
  <si>
    <t>P_manual (kW), Q&gt;0</t>
  </si>
  <si>
    <t>P_manual (kW), Q&lt;0</t>
  </si>
  <si>
    <t>Li (H)</t>
  </si>
  <si>
    <t>Lo (H)</t>
  </si>
  <si>
    <t>Co (F)</t>
  </si>
  <si>
    <t>Inverter output current (A)</t>
  </si>
  <si>
    <t>Temperature</t>
  </si>
  <si>
    <t>Rating</t>
  </si>
  <si>
    <t>Delta T/1000m (ºC/1000m).1000&lt; H &lt;2000</t>
  </si>
  <si>
    <t>Delta T/1000m (ºC/1000m). H&gt;2000m</t>
  </si>
  <si>
    <t>deltaT</t>
  </si>
  <si>
    <t>Vdc</t>
  </si>
  <si>
    <t>wg(Hz)</t>
  </si>
  <si>
    <t>Vdc_min(sat)</t>
  </si>
  <si>
    <t>Ii (A)</t>
  </si>
  <si>
    <t>Ii_rated</t>
  </si>
  <si>
    <t>Vi_max (V)</t>
  </si>
  <si>
    <t>Vdc_derating(V)</t>
  </si>
  <si>
    <t>GPTech Inverter</t>
  </si>
  <si>
    <t>Tm_H_corrected(ºC)</t>
  </si>
  <si>
    <t>TM_H_corrected(ºC)</t>
  </si>
  <si>
    <t>Vdc_min (Tmax)</t>
  </si>
  <si>
    <t>Vdc_max (Tmin)</t>
  </si>
  <si>
    <t>Temperature Max (ºC) ( TM)</t>
  </si>
  <si>
    <t>Temperature Min (ºC) ( Tm)</t>
  </si>
  <si>
    <t>TM_derating</t>
  </si>
  <si>
    <t>Vdc_min derating</t>
  </si>
  <si>
    <t>Tm_derating</t>
  </si>
  <si>
    <t>Vdc_max(sat)</t>
  </si>
  <si>
    <t>Total derating@ TM</t>
  </si>
  <si>
    <t>Total derating@ Tm</t>
  </si>
  <si>
    <t>Prated (W)</t>
  </si>
  <si>
    <t>Prated (kW)</t>
  </si>
  <si>
    <t>Derating factor for TM</t>
  </si>
  <si>
    <t>P</t>
  </si>
  <si>
    <t>Q</t>
  </si>
  <si>
    <t>PF</t>
  </si>
  <si>
    <t>Vdc_min(V)</t>
  </si>
  <si>
    <t>Vac_max(V)</t>
  </si>
  <si>
    <t>P_max (W) (kW)</t>
  </si>
  <si>
    <t>Io(P,Q) (A)</t>
  </si>
  <si>
    <t>STEP1</t>
  </si>
  <si>
    <t>STEP2</t>
  </si>
  <si>
    <t>Ii</t>
  </si>
  <si>
    <t>Io</t>
  </si>
  <si>
    <t>Ii_lim</t>
  </si>
  <si>
    <t>STEP3</t>
  </si>
  <si>
    <t>Line-Line Voltage (V)</t>
  </si>
  <si>
    <t>Q_cap_lim</t>
  </si>
  <si>
    <t>Q_ind_lim</t>
  </si>
  <si>
    <t>Inverter Voltage</t>
  </si>
  <si>
    <t>Voltage operation pu</t>
  </si>
  <si>
    <t>Inverter voltages</t>
  </si>
  <si>
    <t>Set Point Calculation Tool (@Tmax)</t>
  </si>
  <si>
    <t>P_base (kW)</t>
  </si>
  <si>
    <t>P (pu)</t>
  </si>
  <si>
    <t>Qcapacitivo(pu)</t>
  </si>
  <si>
    <t>Qinductivo(pu)</t>
  </si>
  <si>
    <t>Pbase</t>
  </si>
  <si>
    <t>P/Prated</t>
  </si>
  <si>
    <t>V/Vrated</t>
  </si>
  <si>
    <t>Vdc Limited</t>
  </si>
  <si>
    <t>NO Vdc Limited</t>
  </si>
  <si>
    <t>Vdc_limited?</t>
  </si>
  <si>
    <t>Si</t>
  </si>
  <si>
    <t>No</t>
  </si>
  <si>
    <t>Vdc_MPPT (Tmin)</t>
  </si>
  <si>
    <t>Vac</t>
  </si>
  <si>
    <t>T</t>
  </si>
  <si>
    <t>Warning. These data are manually generated.</t>
  </si>
  <si>
    <t>Curve 1</t>
  </si>
  <si>
    <t>Curve 2</t>
  </si>
  <si>
    <t>Curve 3</t>
  </si>
  <si>
    <t>Curve 4</t>
  </si>
  <si>
    <t>Curve 5</t>
  </si>
  <si>
    <t>Curve 6</t>
  </si>
  <si>
    <t>Curve 7</t>
  </si>
  <si>
    <t>Vdc_min</t>
  </si>
  <si>
    <t>Vdc_max</t>
  </si>
  <si>
    <t>Model</t>
  </si>
  <si>
    <t>Desactiva Vdc uprating poniendo este valor a 100%. Activarlo poniendolo a 115,2%</t>
  </si>
  <si>
    <t>S_base (kVA)</t>
  </si>
  <si>
    <t>S_max (VA)</t>
  </si>
  <si>
    <t>WD3 voltage dependecy on altitude</t>
  </si>
  <si>
    <t>Altitude(m)</t>
  </si>
  <si>
    <t>Max DC (Altirude derating) (V)</t>
  </si>
  <si>
    <t>Max AC(Altitude derating) (V)</t>
  </si>
  <si>
    <t>DC Voltage(V)</t>
  </si>
  <si>
    <t>%Ii(T)</t>
  </si>
  <si>
    <t>Temp</t>
  </si>
  <si>
    <t>%Ii(V)</t>
  </si>
  <si>
    <t>WD3V</t>
  </si>
  <si>
    <t>Temperature derating</t>
  </si>
  <si>
    <t>Altitude derating</t>
  </si>
  <si>
    <t>H&lt;1000</t>
  </si>
  <si>
    <t>Operation temperature derating value (ºC/1000m)</t>
  </si>
  <si>
    <t>1000&lt;H&lt;2000</t>
  </si>
  <si>
    <t>2000&lt;H&lt;4000</t>
  </si>
  <si>
    <t>Altitude</t>
  </si>
  <si>
    <t>Ii DC Voltage derating</t>
  </si>
  <si>
    <t>Temp (H modified)</t>
  </si>
  <si>
    <t>Total derating curves example</t>
  </si>
  <si>
    <t>Ii(T)(%In)</t>
  </si>
  <si>
    <t>Ii(T) (A)</t>
  </si>
  <si>
    <t>Temp(ºC)</t>
  </si>
  <si>
    <t>Ii(A)/Ii(%)</t>
  </si>
  <si>
    <t xml:space="preserve">Warning: The maximum output current of the inverter will also depend on the AC/DC </t>
  </si>
  <si>
    <t>DC Input</t>
  </si>
  <si>
    <t>min</t>
  </si>
  <si>
    <t>max</t>
  </si>
  <si>
    <t>MPP Voltage range for PV [Vdc]</t>
  </si>
  <si>
    <t>SOC Voltage range for BPCS [Vdc]</t>
  </si>
  <si>
    <r>
      <t>1500</t>
    </r>
    <r>
      <rPr>
        <sz val="8"/>
        <color theme="1"/>
        <rFont val="Calibri"/>
        <family val="2"/>
        <scheme val="minor"/>
      </rPr>
      <t> </t>
    </r>
  </si>
  <si>
    <t>MPP Voltage range @ full power [Vdc] (1)</t>
  </si>
  <si>
    <t>SOC Voltage range @ full power [Vdc] (1)</t>
  </si>
  <si>
    <t>Max. DC voltage [Vdc]</t>
  </si>
  <si>
    <t>Rated input current at Vdc_min [A] @35ºC</t>
  </si>
  <si>
    <t>Rated input current at Vdc_min [A] @50ºC</t>
  </si>
  <si>
    <t>Max. Short circuit input current (2)</t>
  </si>
  <si>
    <t>2x10000</t>
  </si>
  <si>
    <t>3x10000</t>
  </si>
  <si>
    <t>Number of MPPT</t>
  </si>
  <si>
    <t>up to 2</t>
  </si>
  <si>
    <t>up to 3</t>
  </si>
  <si>
    <t>Switch type</t>
  </si>
  <si>
    <t>DC load break switch</t>
  </si>
  <si>
    <t>DC overvoltage protection</t>
  </si>
  <si>
    <t>SPD (type 2)</t>
  </si>
  <si>
    <t>Number of DC Inputs</t>
  </si>
  <si>
    <t>up to 12</t>
  </si>
  <si>
    <t>up to 24</t>
  </si>
  <si>
    <t>Up to 36</t>
  </si>
  <si>
    <t>DC input protection (3)</t>
  </si>
  <si>
    <t>Fuses</t>
  </si>
  <si>
    <t>Integrated DC monitoring</t>
  </si>
  <si>
    <t>Optional</t>
  </si>
  <si>
    <t>AC Output</t>
  </si>
  <si>
    <t>Nominal AC voltage</t>
  </si>
  <si>
    <t>Max. AC voltage range (4)</t>
  </si>
  <si>
    <t>90%-110%</t>
  </si>
  <si>
    <r>
      <t xml:space="preserve">Frequency, </t>
    </r>
    <r>
      <rPr>
        <i/>
        <sz val="8"/>
        <color rgb="FF000000"/>
        <rFont val="TitilliumText22L"/>
      </rPr>
      <t>f</t>
    </r>
    <r>
      <rPr>
        <sz val="8"/>
        <color rgb="FF000000"/>
        <rFont val="TitilliumText22L"/>
      </rPr>
      <t xml:space="preserve"> [Hz]</t>
    </r>
  </si>
  <si>
    <t>50-60</t>
  </si>
  <si>
    <t>Frequency operation range [Hz]</t>
  </si>
  <si>
    <r>
      <t>f</t>
    </r>
    <r>
      <rPr>
        <sz val="8"/>
        <color rgb="FF000000"/>
        <rFont val="TitilliumText22L"/>
      </rPr>
      <t xml:space="preserve"> ±3Hz</t>
    </r>
  </si>
  <si>
    <t>Total Current Demand Distortion (TDD)</t>
  </si>
  <si>
    <t>&lt;3%</t>
  </si>
  <si>
    <t>Power factor</t>
  </si>
  <si>
    <t>Adjustable</t>
  </si>
  <si>
    <t>AC Cabinet</t>
  </si>
  <si>
    <t>Integrated</t>
  </si>
  <si>
    <t>AC circuit breaker</t>
  </si>
  <si>
    <t>Number of handling switches</t>
  </si>
  <si>
    <t>AC overvoltage protection</t>
  </si>
  <si>
    <t>Efficiency</t>
  </si>
  <si>
    <t>Maximum Peak Efficiency  (7)</t>
  </si>
  <si>
    <t>European Efficiency (7)</t>
  </si>
  <si>
    <t>CEC Efficiency  (7)</t>
  </si>
  <si>
    <t>Self-consumption in standby [W] (8)</t>
  </si>
  <si>
    <t>&lt;250</t>
  </si>
  <si>
    <t>&lt;400</t>
  </si>
  <si>
    <t>&lt;550</t>
  </si>
  <si>
    <t>Self-consumption in operation [kW]</t>
  </si>
  <si>
    <t>&lt;4.5</t>
  </si>
  <si>
    <t>&lt;7</t>
  </si>
  <si>
    <t>&lt;10</t>
  </si>
  <si>
    <t xml:space="preserve">Average daily Self-consumption 12h. (European profile) [Kw] </t>
  </si>
  <si>
    <t>&lt;2</t>
  </si>
  <si>
    <t>&lt;3</t>
  </si>
  <si>
    <t>&lt;4</t>
  </si>
  <si>
    <t xml:space="preserve">Average daily  Self-consumption 12h. (CEC profile) [Kw] </t>
  </si>
  <si>
    <t>&lt;5</t>
  </si>
  <si>
    <t>Notes</t>
  </si>
  <si>
    <t>(1) At 100% Uac_nom, full power according to Figure 10 and cos ϕ = 1</t>
  </si>
  <si>
    <t>(2) Higher values under request</t>
  </si>
  <si>
    <t>(3) Different DC fuse sizes are available. Optionals for BPCS</t>
  </si>
  <si>
    <t>(4) Other voltage configurations are possible under request</t>
  </si>
  <si>
    <t>(5) At nominal AC voltage.</t>
  </si>
  <si>
    <t>(6) Self-consumption is not considered in the efficiency measurement considering the rated current when the Vdc=1250Vdc and the ambient temperature bellow 35 ºC</t>
  </si>
  <si>
    <t>(7) The losses in standby and consumption of auxiliaries may vary depending on the model of transformer required by the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</si>
</sst>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0.000"/>
    <numFmt numFmtId="166" formatCode="0.0000"/>
    <numFmt numFmtId="167" formatCode="0.0"/>
    <numFmt numFmtId="168" formatCode="0.0000000"/>
    <numFmt numFmtId="169" formatCode="0.0%"/>
  </numFmts>
  <fonts count="25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FFFFFF"/>
      <name val="TitilliumText22L"/>
    </font>
    <font>
      <sz val="8"/>
      <color rgb="FF000000"/>
      <name val="TitilliumText22L"/>
    </font>
    <font>
      <sz val="8"/>
      <color theme="1"/>
      <name val="Calibri"/>
      <family val="2"/>
      <scheme val="minor"/>
    </font>
    <font>
      <sz val="8"/>
      <color theme="1"/>
      <name val="TitilliumText22L"/>
    </font>
    <font>
      <i/>
      <sz val="8"/>
      <color rgb="FF000000"/>
      <name val="TitilliumText22L"/>
    </font>
    <font>
      <b/>
      <i/>
      <sz val="8"/>
      <color theme="1"/>
      <name val="TitilliumText22L"/>
    </font>
    <font>
      <sz val="8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theme="1"/>
      <name val="TitilliumText22L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F6228"/>
        <bgColor indexed="64"/>
      </patternFill>
    </fill>
  </fills>
  <borders count="5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/>
      <diagonal/>
    </border>
    <border>
      <left style="thin">
        <color rgb="FF7F7F7F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  <xf numFmtId="0" fontId="4" fillId="4" borderId="3" applyNumberFormat="0" applyAlignment="0" applyProtection="0"/>
    <xf numFmtId="9" fontId="8" fillId="0" borderId="0" applyFont="0" applyFill="0" applyBorder="0" applyAlignment="0" applyProtection="0"/>
    <xf numFmtId="0" fontId="10" fillId="0" borderId="4" applyNumberFormat="0" applyFill="0" applyAlignment="0" applyProtection="0"/>
    <xf numFmtId="164" fontId="8" fillId="0" borderId="0" applyFont="0" applyFill="0" applyBorder="0" applyAlignment="0" applyProtection="0"/>
  </cellStyleXfs>
  <cellXfs count="189">
    <xf numFmtId="0" fontId="0" fillId="0" borderId="0" xfId="0"/>
    <xf numFmtId="0" fontId="3" fillId="3" borderId="1" xfId="3"/>
    <xf numFmtId="0" fontId="2" fillId="3" borderId="2" xfId="2"/>
    <xf numFmtId="0" fontId="1" fillId="2" borderId="1" xfId="1" applyProtection="1"/>
    <xf numFmtId="0" fontId="3" fillId="3" borderId="1" xfId="3" applyProtection="1">
      <protection hidden="1"/>
    </xf>
    <xf numFmtId="2" fontId="3" fillId="3" borderId="1" xfId="3" applyNumberFormat="1" applyProtection="1">
      <protection hidden="1"/>
    </xf>
    <xf numFmtId="0" fontId="1" fillId="2" borderId="1" xfId="1" applyProtection="1">
      <protection locked="0"/>
    </xf>
    <xf numFmtId="165" fontId="2" fillId="3" borderId="2" xfId="2" applyNumberFormat="1"/>
    <xf numFmtId="1" fontId="3" fillId="3" borderId="1" xfId="3" applyNumberFormat="1"/>
    <xf numFmtId="166" fontId="4" fillId="4" borderId="3" xfId="4" applyNumberFormat="1"/>
    <xf numFmtId="0" fontId="5" fillId="0" borderId="0" xfId="0" applyFont="1"/>
    <xf numFmtId="167" fontId="3" fillId="3" borderId="1" xfId="3" applyNumberFormat="1" applyAlignment="1">
      <alignment horizontal="right"/>
    </xf>
    <xf numFmtId="167" fontId="3" fillId="3" borderId="1" xfId="3" applyNumberFormat="1"/>
    <xf numFmtId="167" fontId="4" fillId="4" borderId="3" xfId="4" applyNumberFormat="1"/>
    <xf numFmtId="167" fontId="2" fillId="3" borderId="2" xfId="2" applyNumberFormat="1"/>
    <xf numFmtId="167" fontId="1" fillId="2" borderId="1" xfId="1" applyNumberFormat="1" applyProtection="1">
      <protection locked="0"/>
    </xf>
    <xf numFmtId="0" fontId="0" fillId="0" borderId="0" xfId="0" applyAlignment="1">
      <alignment horizontal="center"/>
    </xf>
    <xf numFmtId="9" fontId="0" fillId="0" borderId="0" xfId="5" applyFont="1"/>
    <xf numFmtId="9" fontId="0" fillId="0" borderId="0" xfId="0" applyNumberFormat="1"/>
    <xf numFmtId="2" fontId="1" fillId="2" borderId="1" xfId="1" applyNumberFormat="1" applyProtection="1">
      <protection locked="0"/>
    </xf>
    <xf numFmtId="10" fontId="3" fillId="3" borderId="1" xfId="5" applyNumberFormat="1" applyFont="1" applyFill="1" applyBorder="1"/>
    <xf numFmtId="0" fontId="3" fillId="3" borderId="1" xfId="3" applyProtection="1"/>
    <xf numFmtId="10" fontId="0" fillId="0" borderId="0" xfId="5" applyNumberFormat="1" applyFont="1"/>
    <xf numFmtId="0" fontId="9" fillId="3" borderId="2" xfId="2" applyFont="1" applyProtection="1"/>
    <xf numFmtId="10" fontId="9" fillId="3" borderId="2" xfId="2" applyNumberFormat="1" applyFont="1"/>
    <xf numFmtId="0" fontId="9" fillId="3" borderId="2" xfId="2" applyFont="1"/>
    <xf numFmtId="2" fontId="9" fillId="3" borderId="2" xfId="2" applyNumberFormat="1" applyFont="1"/>
    <xf numFmtId="0" fontId="0" fillId="0" borderId="0" xfId="0" applyProtection="1"/>
    <xf numFmtId="165" fontId="1" fillId="2" borderId="1" xfId="1" applyNumberFormat="1" applyProtection="1">
      <protection locked="0"/>
    </xf>
    <xf numFmtId="0" fontId="0" fillId="5" borderId="0" xfId="0" applyFill="1"/>
    <xf numFmtId="0" fontId="0" fillId="6" borderId="0" xfId="0" applyFill="1"/>
    <xf numFmtId="0" fontId="4" fillId="7" borderId="0" xfId="0" applyFont="1" applyFill="1"/>
    <xf numFmtId="168" fontId="0" fillId="0" borderId="0" xfId="0" applyNumberFormat="1"/>
    <xf numFmtId="0" fontId="10" fillId="3" borderId="4" xfId="6" applyFill="1"/>
    <xf numFmtId="0" fontId="0" fillId="0" borderId="0" xfId="0" applyFill="1"/>
    <xf numFmtId="0" fontId="4" fillId="7" borderId="6" xfId="0" applyFont="1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0" xfId="0" applyFill="1" applyBorder="1"/>
    <xf numFmtId="0" fontId="0" fillId="5" borderId="7" xfId="0" applyFill="1" applyBorder="1"/>
    <xf numFmtId="0" fontId="0" fillId="5" borderId="0" xfId="0" applyFill="1" applyBorder="1"/>
    <xf numFmtId="0" fontId="0" fillId="5" borderId="8" xfId="0" applyFill="1" applyBorder="1"/>
    <xf numFmtId="0" fontId="4" fillId="7" borderId="5" xfId="0" applyFont="1" applyFill="1" applyBorder="1"/>
    <xf numFmtId="0" fontId="5" fillId="8" borderId="0" xfId="0" applyFont="1" applyFill="1"/>
    <xf numFmtId="0" fontId="11" fillId="0" borderId="0" xfId="0" applyFont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167" fontId="0" fillId="0" borderId="0" xfId="0" applyNumberFormat="1"/>
    <xf numFmtId="0" fontId="11" fillId="0" borderId="0" xfId="0" applyFont="1" applyFill="1"/>
    <xf numFmtId="0" fontId="13" fillId="0" borderId="0" xfId="2" applyFont="1" applyFill="1" applyBorder="1"/>
    <xf numFmtId="2" fontId="0" fillId="0" borderId="20" xfId="0" applyNumberFormat="1" applyBorder="1"/>
    <xf numFmtId="164" fontId="3" fillId="3" borderId="1" xfId="7" applyFont="1" applyFill="1" applyBorder="1"/>
    <xf numFmtId="164" fontId="2" fillId="3" borderId="2" xfId="7" applyFont="1" applyFill="1" applyBorder="1" applyProtection="1"/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0" fillId="0" borderId="7" xfId="0" applyFill="1" applyBorder="1" applyProtection="1">
      <protection locked="0"/>
    </xf>
    <xf numFmtId="0" fontId="0" fillId="0" borderId="8" xfId="0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 applyProtection="1">
      <protection locked="0"/>
    </xf>
    <xf numFmtId="0" fontId="0" fillId="0" borderId="0" xfId="0" applyBorder="1"/>
    <xf numFmtId="0" fontId="0" fillId="0" borderId="11" xfId="0" applyBorder="1"/>
    <xf numFmtId="0" fontId="0" fillId="0" borderId="28" xfId="0" applyBorder="1"/>
    <xf numFmtId="0" fontId="0" fillId="0" borderId="5" xfId="0" applyBorder="1"/>
    <xf numFmtId="0" fontId="0" fillId="0" borderId="30" xfId="0" applyBorder="1"/>
    <xf numFmtId="0" fontId="0" fillId="0" borderId="32" xfId="0" applyBorder="1"/>
    <xf numFmtId="0" fontId="0" fillId="0" borderId="14" xfId="0" applyBorder="1"/>
    <xf numFmtId="0" fontId="0" fillId="0" borderId="37" xfId="0" applyBorder="1"/>
    <xf numFmtId="0" fontId="0" fillId="0" borderId="21" xfId="0" applyBorder="1"/>
    <xf numFmtId="11" fontId="0" fillId="0" borderId="13" xfId="0" applyNumberFormat="1" applyFill="1" applyBorder="1"/>
    <xf numFmtId="164" fontId="0" fillId="0" borderId="32" xfId="7" applyFont="1" applyFill="1" applyBorder="1"/>
    <xf numFmtId="164" fontId="0" fillId="0" borderId="14" xfId="7" applyFont="1" applyBorder="1"/>
    <xf numFmtId="0" fontId="0" fillId="0" borderId="9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17" xfId="0" applyFill="1" applyBorder="1"/>
    <xf numFmtId="0" fontId="0" fillId="0" borderId="12" xfId="0" applyBorder="1"/>
    <xf numFmtId="9" fontId="0" fillId="0" borderId="9" xfId="5" applyNumberFormat="1" applyFont="1" applyBorder="1"/>
    <xf numFmtId="9" fontId="0" fillId="0" borderId="27" xfId="0" applyNumberFormat="1" applyBorder="1"/>
    <xf numFmtId="9" fontId="0" fillId="0" borderId="10" xfId="0" applyNumberFormat="1" applyBorder="1"/>
    <xf numFmtId="0" fontId="0" fillId="0" borderId="45" xfId="0" applyBorder="1"/>
    <xf numFmtId="0" fontId="0" fillId="0" borderId="46" xfId="0" applyBorder="1"/>
    <xf numFmtId="9" fontId="0" fillId="0" borderId="46" xfId="0" applyNumberFormat="1" applyBorder="1"/>
    <xf numFmtId="9" fontId="0" fillId="0" borderId="39" xfId="5" applyNumberFormat="1" applyFont="1" applyBorder="1"/>
    <xf numFmtId="169" fontId="0" fillId="0" borderId="39" xfId="5" applyNumberFormat="1" applyFont="1" applyBorder="1"/>
    <xf numFmtId="169" fontId="0" fillId="0" borderId="40" xfId="5" applyNumberFormat="1" applyFont="1" applyBorder="1"/>
    <xf numFmtId="0" fontId="0" fillId="0" borderId="13" xfId="0" applyBorder="1"/>
    <xf numFmtId="0" fontId="14" fillId="0" borderId="15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41" xfId="0" applyFont="1" applyBorder="1"/>
    <xf numFmtId="9" fontId="14" fillId="0" borderId="31" xfId="5" applyFont="1" applyBorder="1"/>
    <xf numFmtId="0" fontId="1" fillId="2" borderId="44" xfId="1" applyBorder="1"/>
    <xf numFmtId="0" fontId="4" fillId="4" borderId="3" xfId="4"/>
    <xf numFmtId="0" fontId="14" fillId="0" borderId="31" xfId="0" applyFont="1" applyBorder="1"/>
    <xf numFmtId="0" fontId="14" fillId="0" borderId="42" xfId="0" applyFont="1" applyBorder="1"/>
    <xf numFmtId="0" fontId="14" fillId="0" borderId="48" xfId="0" applyFont="1" applyBorder="1"/>
    <xf numFmtId="0" fontId="1" fillId="2" borderId="49" xfId="1" applyBorder="1"/>
    <xf numFmtId="0" fontId="1" fillId="2" borderId="50" xfId="1" applyBorder="1"/>
    <xf numFmtId="169" fontId="14" fillId="0" borderId="35" xfId="5" applyNumberFormat="1" applyFont="1" applyBorder="1"/>
    <xf numFmtId="169" fontId="14" fillId="0" borderId="45" xfId="5" applyNumberFormat="1" applyFont="1" applyBorder="1"/>
    <xf numFmtId="0" fontId="14" fillId="0" borderId="52" xfId="0" applyFont="1" applyBorder="1"/>
    <xf numFmtId="0" fontId="14" fillId="0" borderId="43" xfId="0" applyFont="1" applyBorder="1"/>
    <xf numFmtId="0" fontId="14" fillId="0" borderId="53" xfId="0" applyFont="1" applyBorder="1"/>
    <xf numFmtId="0" fontId="1" fillId="2" borderId="54" xfId="1" applyBorder="1"/>
    <xf numFmtId="0" fontId="1" fillId="2" borderId="55" xfId="1" applyBorder="1"/>
    <xf numFmtId="0" fontId="1" fillId="2" borderId="56" xfId="1" applyBorder="1"/>
    <xf numFmtId="1" fontId="0" fillId="0" borderId="51" xfId="0" applyNumberFormat="1" applyBorder="1"/>
    <xf numFmtId="1" fontId="0" fillId="0" borderId="33" xfId="0" applyNumberFormat="1" applyBorder="1"/>
    <xf numFmtId="1" fontId="0" fillId="0" borderId="34" xfId="0" applyNumberFormat="1" applyBorder="1"/>
    <xf numFmtId="1" fontId="0" fillId="0" borderId="47" xfId="0" applyNumberFormat="1" applyBorder="1"/>
    <xf numFmtId="1" fontId="0" fillId="0" borderId="29" xfId="0" applyNumberFormat="1" applyBorder="1"/>
    <xf numFmtId="1" fontId="0" fillId="0" borderId="36" xfId="0" applyNumberFormat="1" applyBorder="1"/>
    <xf numFmtId="1" fontId="0" fillId="0" borderId="38" xfId="0" applyNumberFormat="1" applyBorder="1"/>
    <xf numFmtId="1" fontId="0" fillId="0" borderId="39" xfId="0" applyNumberFormat="1" applyBorder="1"/>
    <xf numFmtId="1" fontId="0" fillId="0" borderId="40" xfId="0" applyNumberFormat="1" applyBorder="1"/>
    <xf numFmtId="0" fontId="0" fillId="0" borderId="15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31" xfId="0" applyBorder="1" applyAlignment="1"/>
    <xf numFmtId="0" fontId="0" fillId="0" borderId="45" xfId="0" applyBorder="1" applyAlignment="1" applyProtection="1">
      <alignment horizontal="center"/>
      <protection locked="0"/>
    </xf>
    <xf numFmtId="0" fontId="0" fillId="8" borderId="39" xfId="0" applyFill="1" applyBorder="1"/>
    <xf numFmtId="0" fontId="15" fillId="0" borderId="0" xfId="0" applyFont="1" applyAlignment="1">
      <alignment vertical="center" wrapText="1"/>
    </xf>
    <xf numFmtId="0" fontId="17" fillId="0" borderId="37" xfId="0" applyFont="1" applyBorder="1" applyAlignment="1">
      <alignment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0" fontId="19" fillId="0" borderId="37" xfId="0" applyFont="1" applyBorder="1" applyAlignment="1">
      <alignment vertical="center" wrapText="1"/>
    </xf>
    <xf numFmtId="0" fontId="16" fillId="9" borderId="9" xfId="0" applyFont="1" applyFill="1" applyBorder="1" applyAlignment="1">
      <alignment vertical="center" wrapText="1"/>
    </xf>
    <xf numFmtId="0" fontId="21" fillId="0" borderId="37" xfId="0" applyFont="1" applyBorder="1" applyAlignment="1">
      <alignment vertical="center" wrapText="1"/>
    </xf>
    <xf numFmtId="0" fontId="22" fillId="9" borderId="9" xfId="0" applyFont="1" applyFill="1" applyBorder="1" applyAlignment="1">
      <alignment vertical="center"/>
    </xf>
    <xf numFmtId="0" fontId="23" fillId="0" borderId="37" xfId="0" applyFont="1" applyBorder="1" applyAlignment="1">
      <alignment vertical="center"/>
    </xf>
    <xf numFmtId="0" fontId="23" fillId="0" borderId="37" xfId="0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0" fontId="23" fillId="0" borderId="21" xfId="0" applyFont="1" applyBorder="1" applyAlignment="1">
      <alignment vertical="center" wrapText="1"/>
    </xf>
    <xf numFmtId="0" fontId="23" fillId="0" borderId="24" xfId="0" applyFont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23" fillId="0" borderId="0" xfId="0" applyFont="1" applyBorder="1" applyAlignment="1">
      <alignment vertical="center" wrapText="1"/>
    </xf>
    <xf numFmtId="0" fontId="23" fillId="0" borderId="8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3" fillId="0" borderId="27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6" fillId="9" borderId="57" xfId="0" applyFont="1" applyFill="1" applyBorder="1" applyAlignment="1">
      <alignment vertical="center" wrapText="1"/>
    </xf>
    <xf numFmtId="0" fontId="16" fillId="9" borderId="37" xfId="0" applyFont="1" applyFill="1" applyBorder="1" applyAlignment="1">
      <alignment vertical="center" wrapText="1"/>
    </xf>
    <xf numFmtId="0" fontId="16" fillId="9" borderId="11" xfId="0" applyFont="1" applyFill="1" applyBorder="1" applyAlignment="1">
      <alignment horizontal="center" vertical="center" wrapText="1"/>
    </xf>
    <xf numFmtId="0" fontId="16" fillId="9" borderId="12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2" fontId="9" fillId="3" borderId="2" xfId="2" applyNumberFormat="1" applyFont="1" applyAlignment="1">
      <alignment horizontal="right"/>
    </xf>
  </cellXfs>
  <cellStyles count="8">
    <cellStyle name="Cálculo" xfId="3" builtinId="22"/>
    <cellStyle name="Celda de comprobación" xfId="4" builtinId="23"/>
    <cellStyle name="Celda vinculada" xfId="6" builtinId="24"/>
    <cellStyle name="Entrada" xfId="1" builtinId="20"/>
    <cellStyle name="Millares" xfId="7" builtinId="3"/>
    <cellStyle name="Normal" xfId="0" builtinId="0"/>
    <cellStyle name="Porcentaje" xfId="5" builtinId="5"/>
    <cellStyle name="Salida" xfId="2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tilliumText22L" pitchFamily="50" charset="0"/>
                <a:ea typeface="+mn-ea"/>
                <a:cs typeface="+mn-cs"/>
              </a:defRPr>
            </a:pPr>
            <a:r>
              <a:rPr lang="en-US"/>
              <a:t>P,Q (kVA)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Capability!$N$1</c:f>
              <c:strCache>
                <c:ptCount val="1"/>
                <c:pt idx="0">
                  <c:v>Q(kVAr)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Capability!$N$4:$N$68</c:f>
              <c:numCache>
                <c:formatCode>_-* #,##0.00\ _€_-;\-* #,##0.00\ _€_-;_-* "-"??\ _€_-;_-@_-</c:formatCode>
                <c:ptCount val="65"/>
                <c:pt idx="0">
                  <c:v>2103.4138700017165</c:v>
                </c:pt>
                <c:pt idx="1">
                  <c:v>2102.6280069946088</c:v>
                </c:pt>
                <c:pt idx="2">
                  <c:v>2100.2515449113175</c:v>
                </c:pt>
                <c:pt idx="3">
                  <c:v>2096.2840107449369</c:v>
                </c:pt>
                <c:pt idx="4">
                  <c:v>2090.724660853034</c:v>
                </c:pt>
                <c:pt idx="5">
                  <c:v>2083.5724524562788</c:v>
                </c:pt>
                <c:pt idx="6">
                  <c:v>2074.8260426592419</c:v>
                </c:pt>
                <c:pt idx="7">
                  <c:v>2064.4837871872633</c:v>
                </c:pt>
                <c:pt idx="8">
                  <c:v>2052.5437388366627</c:v>
                </c:pt>
                <c:pt idx="9">
                  <c:v>2039.0036456347871</c:v>
                </c:pt>
                <c:pt idx="10">
                  <c:v>2023.8609487059284</c:v>
                </c:pt>
                <c:pt idx="11">
                  <c:v>2007.1127798382583</c:v>
                </c:pt>
                <c:pt idx="12">
                  <c:v>1988.7559587464557</c:v>
                </c:pt>
                <c:pt idx="13">
                  <c:v>1968.786990023777</c:v>
                </c:pt>
                <c:pt idx="14">
                  <c:v>1947.2020597768071</c:v>
                </c:pt>
                <c:pt idx="15">
                  <c:v>1923.99703193512</c:v>
                </c:pt>
                <c:pt idx="16">
                  <c:v>1899.1674442275112</c:v>
                </c:pt>
                <c:pt idx="17">
                  <c:v>1892.7056554901451</c:v>
                </c:pt>
                <c:pt idx="18">
                  <c:v>1886.1419557013344</c:v>
                </c:pt>
                <c:pt idx="19">
                  <c:v>1879.4762654024139</c:v>
                </c:pt>
                <c:pt idx="20">
                  <c:v>1872.7085038154964</c:v>
                </c:pt>
                <c:pt idx="21">
                  <c:v>1865.8385888384544</c:v>
                </c:pt>
                <c:pt idx="22">
                  <c:v>1858.8664370398074</c:v>
                </c:pt>
                <c:pt idx="23">
                  <c:v>1851.7919636535589</c:v>
                </c:pt>
                <c:pt idx="24">
                  <c:v>1844.6150825738869</c:v>
                </c:pt>
                <c:pt idx="25">
                  <c:v>1837.335706349792</c:v>
                </c:pt>
                <c:pt idx="26">
                  <c:v>1829.9537461795974</c:v>
                </c:pt>
                <c:pt idx="27">
                  <c:v>1805.7043289986048</c:v>
                </c:pt>
                <c:pt idx="28">
                  <c:v>1658.1946188005261</c:v>
                </c:pt>
                <c:pt idx="29">
                  <c:v>1487.8375847738157</c:v>
                </c:pt>
                <c:pt idx="30">
                  <c:v>1280.9241292207246</c:v>
                </c:pt>
                <c:pt idx="31">
                  <c:v>998.45908493146521</c:v>
                </c:pt>
                <c:pt idx="32">
                  <c:v>436.03721221097271</c:v>
                </c:pt>
                <c:pt idx="33">
                  <c:v>-126.38466050951966</c:v>
                </c:pt>
                <c:pt idx="34">
                  <c:v>-408.8497047987791</c:v>
                </c:pt>
                <c:pt idx="35">
                  <c:v>-615.7631603518704</c:v>
                </c:pt>
                <c:pt idx="36">
                  <c:v>-786.12019437858055</c:v>
                </c:pt>
                <c:pt idx="37">
                  <c:v>-933.62990457665921</c:v>
                </c:pt>
                <c:pt idx="38">
                  <c:v>-1065.0430243874125</c:v>
                </c:pt>
                <c:pt idx="39">
                  <c:v>-1184.280757871584</c:v>
                </c:pt>
                <c:pt idx="40">
                  <c:v>-1293.8625979537446</c:v>
                </c:pt>
                <c:pt idx="41">
                  <c:v>-1395.5224957463379</c:v>
                </c:pt>
                <c:pt idx="42">
                  <c:v>-1490.5149298258546</c:v>
                </c:pt>
                <c:pt idx="43">
                  <c:v>-1579.7827027938324</c:v>
                </c:pt>
                <c:pt idx="44">
                  <c:v>-1664.055948827973</c:v>
                </c:pt>
                <c:pt idx="45">
                  <c:v>-1743.9139849318431</c:v>
                </c:pt>
                <c:pt idx="46">
                  <c:v>-1819.8257580014281</c:v>
                </c:pt>
                <c:pt idx="47">
                  <c:v>-1892.1773054819118</c:v>
                </c:pt>
                <c:pt idx="48">
                  <c:v>-1961.2909926841312</c:v>
                </c:pt>
                <c:pt idx="49">
                  <c:v>-2210.2672041472465</c:v>
                </c:pt>
                <c:pt idx="50">
                  <c:v>-2423.6174716970077</c:v>
                </c:pt>
                <c:pt idx="51">
                  <c:v>-2608.8398072210261</c:v>
                </c:pt>
                <c:pt idx="52">
                  <c:v>-2770.8117896663753</c:v>
                </c:pt>
                <c:pt idx="53">
                  <c:v>-2912.9086343692293</c:v>
                </c:pt>
                <c:pt idx="54">
                  <c:v>-3037.5703290809679</c:v>
                </c:pt>
                <c:pt idx="55">
                  <c:v>-3146.6173516036979</c:v>
                </c:pt>
                <c:pt idx="56">
                  <c:v>-3241.4390149633577</c:v>
                </c:pt>
                <c:pt idx="57">
                  <c:v>-3323.1119447593928</c:v>
                </c:pt>
                <c:pt idx="58">
                  <c:v>-3392.4777312596766</c:v>
                </c:pt>
                <c:pt idx="59">
                  <c:v>-3450.1954449408786</c:v>
                </c:pt>
                <c:pt idx="60">
                  <c:v>-3496.7779580910092</c:v>
                </c:pt>
                <c:pt idx="61">
                  <c:v>-3532.617391947681</c:v>
                </c:pt>
                <c:pt idx="62">
                  <c:v>-3558.0029572878707</c:v>
                </c:pt>
                <c:pt idx="63">
                  <c:v>-3573.133236789597</c:v>
                </c:pt>
                <c:pt idx="64">
                  <c:v>-3578.1241955823052</c:v>
                </c:pt>
              </c:numCache>
            </c:numRef>
          </c:xVal>
          <c:yVal>
            <c:numRef>
              <c:f>Capability!$M$4:$M$68</c:f>
              <c:numCache>
                <c:formatCode>_-* #,##0.00\ _€_-;\-* #,##0.00\ _€_-;_-* "-"??\ _€_-;_-@_-</c:formatCode>
                <c:ptCount val="65"/>
                <c:pt idx="0">
                  <c:v>0</c:v>
                </c:pt>
                <c:pt idx="1">
                  <c:v>200.11380641108403</c:v>
                </c:pt>
                <c:pt idx="2">
                  <c:v>401.41792322392644</c:v>
                </c:pt>
                <c:pt idx="3">
                  <c:v>602.72204003676893</c:v>
                </c:pt>
                <c:pt idx="4">
                  <c:v>804.02615684961131</c:v>
                </c:pt>
                <c:pt idx="5">
                  <c:v>1005.3302736624538</c:v>
                </c:pt>
                <c:pt idx="6">
                  <c:v>1206.6343904752962</c:v>
                </c:pt>
                <c:pt idx="7">
                  <c:v>1407.9385072881387</c:v>
                </c:pt>
                <c:pt idx="8">
                  <c:v>1609.2426241009809</c:v>
                </c:pt>
                <c:pt idx="9">
                  <c:v>1810.5467409138234</c:v>
                </c:pt>
                <c:pt idx="10">
                  <c:v>2011.8508577266659</c:v>
                </c:pt>
                <c:pt idx="11">
                  <c:v>2213.1549745395087</c:v>
                </c:pt>
                <c:pt idx="12">
                  <c:v>2414.4590913523512</c:v>
                </c:pt>
                <c:pt idx="13">
                  <c:v>2615.7632081651936</c:v>
                </c:pt>
                <c:pt idx="14">
                  <c:v>2817.0673249780357</c:v>
                </c:pt>
                <c:pt idx="15">
                  <c:v>3018.3714417908782</c:v>
                </c:pt>
                <c:pt idx="16">
                  <c:v>3219.6755586037207</c:v>
                </c:pt>
                <c:pt idx="17">
                  <c:v>3270.0015878069312</c:v>
                </c:pt>
                <c:pt idx="18">
                  <c:v>3320.3276170101417</c:v>
                </c:pt>
                <c:pt idx="19">
                  <c:v>3370.6536462133522</c:v>
                </c:pt>
                <c:pt idx="20">
                  <c:v>3420.9796754165627</c:v>
                </c:pt>
                <c:pt idx="21">
                  <c:v>3471.3057046197732</c:v>
                </c:pt>
                <c:pt idx="22">
                  <c:v>3521.6317338229837</c:v>
                </c:pt>
                <c:pt idx="23">
                  <c:v>3571.9577630261942</c:v>
                </c:pt>
                <c:pt idx="24">
                  <c:v>3622.2837922294048</c:v>
                </c:pt>
                <c:pt idx="25">
                  <c:v>3672.6098214326153</c:v>
                </c:pt>
                <c:pt idx="26">
                  <c:v>3722.9358506358258</c:v>
                </c:pt>
                <c:pt idx="27">
                  <c:v>3773.2618798390363</c:v>
                </c:pt>
                <c:pt idx="28">
                  <c:v>3823.5879090422468</c:v>
                </c:pt>
                <c:pt idx="29">
                  <c:v>3873.9139382454573</c:v>
                </c:pt>
                <c:pt idx="30">
                  <c:v>3924.2399674486678</c:v>
                </c:pt>
                <c:pt idx="31">
                  <c:v>3974.5659966518783</c:v>
                </c:pt>
                <c:pt idx="32">
                  <c:v>4002.2761282216802</c:v>
                </c:pt>
                <c:pt idx="33">
                  <c:v>3974.5659966518783</c:v>
                </c:pt>
                <c:pt idx="34">
                  <c:v>3924.2399674486678</c:v>
                </c:pt>
                <c:pt idx="35">
                  <c:v>3873.9139382454573</c:v>
                </c:pt>
                <c:pt idx="36">
                  <c:v>3823.5879090422468</c:v>
                </c:pt>
                <c:pt idx="37">
                  <c:v>3773.2618798390363</c:v>
                </c:pt>
                <c:pt idx="38">
                  <c:v>3722.9358506358258</c:v>
                </c:pt>
                <c:pt idx="39">
                  <c:v>3672.6098214326153</c:v>
                </c:pt>
                <c:pt idx="40">
                  <c:v>3622.2837922294048</c:v>
                </c:pt>
                <c:pt idx="41">
                  <c:v>3571.9577630261942</c:v>
                </c:pt>
                <c:pt idx="42">
                  <c:v>3521.6317338229837</c:v>
                </c:pt>
                <c:pt idx="43">
                  <c:v>3471.3057046197732</c:v>
                </c:pt>
                <c:pt idx="44">
                  <c:v>3420.9796754165627</c:v>
                </c:pt>
                <c:pt idx="45">
                  <c:v>3370.6536462133522</c:v>
                </c:pt>
                <c:pt idx="46">
                  <c:v>3320.3276170101417</c:v>
                </c:pt>
                <c:pt idx="47">
                  <c:v>3270.0015878069312</c:v>
                </c:pt>
                <c:pt idx="48">
                  <c:v>3219.6755586037207</c:v>
                </c:pt>
                <c:pt idx="49">
                  <c:v>3018.3714417908782</c:v>
                </c:pt>
                <c:pt idx="50">
                  <c:v>2817.0673249780357</c:v>
                </c:pt>
                <c:pt idx="51">
                  <c:v>2615.7632081651936</c:v>
                </c:pt>
                <c:pt idx="52">
                  <c:v>2414.4590913523512</c:v>
                </c:pt>
                <c:pt idx="53">
                  <c:v>2213.1549745395087</c:v>
                </c:pt>
                <c:pt idx="54">
                  <c:v>2011.8508577266662</c:v>
                </c:pt>
                <c:pt idx="55">
                  <c:v>1810.5467409138237</c:v>
                </c:pt>
                <c:pt idx="56">
                  <c:v>1609.2426241009812</c:v>
                </c:pt>
                <c:pt idx="57">
                  <c:v>1407.9385072881389</c:v>
                </c:pt>
                <c:pt idx="58">
                  <c:v>1206.6343904752964</c:v>
                </c:pt>
                <c:pt idx="59">
                  <c:v>1005.330273662454</c:v>
                </c:pt>
                <c:pt idx="60">
                  <c:v>804.02615684961154</c:v>
                </c:pt>
                <c:pt idx="61">
                  <c:v>602.72204003676916</c:v>
                </c:pt>
                <c:pt idx="62">
                  <c:v>401.41792322392666</c:v>
                </c:pt>
                <c:pt idx="63">
                  <c:v>200.11380641108423</c:v>
                </c:pt>
                <c:pt idx="64">
                  <c:v>-1.1903104017582373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E-4D5F-9BCF-EA491409F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7200"/>
        <c:axId val="40215937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Capability!$O$1</c15:sqref>
                        </c15:formulaRef>
                      </c:ext>
                    </c:extLst>
                    <c:strCache>
                      <c:ptCount val="1"/>
                      <c:pt idx="0">
                        <c:v>Q_Ii(kVAr)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Capability!$O$4:$O$68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Capability!$M$4:$M$68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65"/>
                      <c:pt idx="0">
                        <c:v>0</c:v>
                      </c:pt>
                      <c:pt idx="1">
                        <c:v>200.11380641108403</c:v>
                      </c:pt>
                      <c:pt idx="2">
                        <c:v>401.41792322392644</c:v>
                      </c:pt>
                      <c:pt idx="3">
                        <c:v>602.72204003676893</c:v>
                      </c:pt>
                      <c:pt idx="4">
                        <c:v>804.02615684961131</c:v>
                      </c:pt>
                      <c:pt idx="5">
                        <c:v>1005.3302736624538</c:v>
                      </c:pt>
                      <c:pt idx="6">
                        <c:v>1206.6343904752962</c:v>
                      </c:pt>
                      <c:pt idx="7">
                        <c:v>1407.9385072881387</c:v>
                      </c:pt>
                      <c:pt idx="8">
                        <c:v>1609.2426241009809</c:v>
                      </c:pt>
                      <c:pt idx="9">
                        <c:v>1810.5467409138234</c:v>
                      </c:pt>
                      <c:pt idx="10">
                        <c:v>2011.8508577266659</c:v>
                      </c:pt>
                      <c:pt idx="11">
                        <c:v>2213.1549745395087</c:v>
                      </c:pt>
                      <c:pt idx="12">
                        <c:v>2414.4590913523512</c:v>
                      </c:pt>
                      <c:pt idx="13">
                        <c:v>2615.7632081651936</c:v>
                      </c:pt>
                      <c:pt idx="14">
                        <c:v>2817.0673249780357</c:v>
                      </c:pt>
                      <c:pt idx="15">
                        <c:v>3018.3714417908782</c:v>
                      </c:pt>
                      <c:pt idx="16">
                        <c:v>3219.6755586037207</c:v>
                      </c:pt>
                      <c:pt idx="17">
                        <c:v>3270.0015878069312</c:v>
                      </c:pt>
                      <c:pt idx="18">
                        <c:v>3320.3276170101417</c:v>
                      </c:pt>
                      <c:pt idx="19">
                        <c:v>3370.6536462133522</c:v>
                      </c:pt>
                      <c:pt idx="20">
                        <c:v>3420.9796754165627</c:v>
                      </c:pt>
                      <c:pt idx="21">
                        <c:v>3471.3057046197732</c:v>
                      </c:pt>
                      <c:pt idx="22">
                        <c:v>3521.6317338229837</c:v>
                      </c:pt>
                      <c:pt idx="23">
                        <c:v>3571.9577630261942</c:v>
                      </c:pt>
                      <c:pt idx="24">
                        <c:v>3622.2837922294048</c:v>
                      </c:pt>
                      <c:pt idx="25">
                        <c:v>3672.6098214326153</c:v>
                      </c:pt>
                      <c:pt idx="26">
                        <c:v>3722.9358506358258</c:v>
                      </c:pt>
                      <c:pt idx="27">
                        <c:v>3773.2618798390363</c:v>
                      </c:pt>
                      <c:pt idx="28">
                        <c:v>3823.5879090422468</c:v>
                      </c:pt>
                      <c:pt idx="29">
                        <c:v>3873.9139382454573</c:v>
                      </c:pt>
                      <c:pt idx="30">
                        <c:v>3924.2399674486678</c:v>
                      </c:pt>
                      <c:pt idx="31">
                        <c:v>3974.5659966518783</c:v>
                      </c:pt>
                      <c:pt idx="32">
                        <c:v>4002.2761282216802</c:v>
                      </c:pt>
                      <c:pt idx="33">
                        <c:v>3974.5659966518783</c:v>
                      </c:pt>
                      <c:pt idx="34">
                        <c:v>3924.2399674486678</c:v>
                      </c:pt>
                      <c:pt idx="35">
                        <c:v>3873.9139382454573</c:v>
                      </c:pt>
                      <c:pt idx="36">
                        <c:v>3823.5879090422468</c:v>
                      </c:pt>
                      <c:pt idx="37">
                        <c:v>3773.2618798390363</c:v>
                      </c:pt>
                      <c:pt idx="38">
                        <c:v>3722.9358506358258</c:v>
                      </c:pt>
                      <c:pt idx="39">
                        <c:v>3672.6098214326153</c:v>
                      </c:pt>
                      <c:pt idx="40">
                        <c:v>3622.2837922294048</c:v>
                      </c:pt>
                      <c:pt idx="41">
                        <c:v>3571.9577630261942</c:v>
                      </c:pt>
                      <c:pt idx="42">
                        <c:v>3521.6317338229837</c:v>
                      </c:pt>
                      <c:pt idx="43">
                        <c:v>3471.3057046197732</c:v>
                      </c:pt>
                      <c:pt idx="44">
                        <c:v>3420.9796754165627</c:v>
                      </c:pt>
                      <c:pt idx="45">
                        <c:v>3370.6536462133522</c:v>
                      </c:pt>
                      <c:pt idx="46">
                        <c:v>3320.3276170101417</c:v>
                      </c:pt>
                      <c:pt idx="47">
                        <c:v>3270.0015878069312</c:v>
                      </c:pt>
                      <c:pt idx="48">
                        <c:v>3219.6755586037207</c:v>
                      </c:pt>
                      <c:pt idx="49">
                        <c:v>3018.3714417908782</c:v>
                      </c:pt>
                      <c:pt idx="50">
                        <c:v>2817.0673249780357</c:v>
                      </c:pt>
                      <c:pt idx="51">
                        <c:v>2615.7632081651936</c:v>
                      </c:pt>
                      <c:pt idx="52">
                        <c:v>2414.4590913523512</c:v>
                      </c:pt>
                      <c:pt idx="53">
                        <c:v>2213.1549745395087</c:v>
                      </c:pt>
                      <c:pt idx="54">
                        <c:v>2011.8508577266662</c:v>
                      </c:pt>
                      <c:pt idx="55">
                        <c:v>1810.5467409138237</c:v>
                      </c:pt>
                      <c:pt idx="56">
                        <c:v>1609.2426241009812</c:v>
                      </c:pt>
                      <c:pt idx="57">
                        <c:v>1407.9385072881389</c:v>
                      </c:pt>
                      <c:pt idx="58">
                        <c:v>1206.6343904752964</c:v>
                      </c:pt>
                      <c:pt idx="59">
                        <c:v>1005.330273662454</c:v>
                      </c:pt>
                      <c:pt idx="60">
                        <c:v>804.02615684961154</c:v>
                      </c:pt>
                      <c:pt idx="61">
                        <c:v>602.72204003676916</c:v>
                      </c:pt>
                      <c:pt idx="62">
                        <c:v>401.41792322392666</c:v>
                      </c:pt>
                      <c:pt idx="63">
                        <c:v>200.11380641108423</c:v>
                      </c:pt>
                      <c:pt idx="64">
                        <c:v>-1.1903104017582373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F2D-4FC1-833A-E3D377BB2C8B}"/>
                  </c:ext>
                </c:extLst>
              </c15:ser>
            </c15:filteredScatterSeries>
          </c:ext>
        </c:extLst>
      </c:scatterChart>
      <c:valAx>
        <c:axId val="40215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_€_-;\-* #,##0.00\ _€_-;_-* &quot;-&quot;??\ _€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tilliumText22L" pitchFamily="50" charset="0"/>
                <a:ea typeface="+mn-ea"/>
                <a:cs typeface="+mn-cs"/>
              </a:defRPr>
            </a:pPr>
            <a:endParaRPr lang="es-ES"/>
          </a:p>
        </c:txPr>
        <c:crossAx val="402159376"/>
        <c:crosses val="autoZero"/>
        <c:crossBetween val="midCat"/>
      </c:valAx>
      <c:valAx>
        <c:axId val="40215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_€_-;\-* #,##0.00\ _€_-;_-* &quot;-&quot;??\ _€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tilliumText22L" pitchFamily="50" charset="0"/>
                <a:ea typeface="+mn-ea"/>
                <a:cs typeface="+mn-cs"/>
              </a:defRPr>
            </a:pPr>
            <a:endParaRPr lang="es-ES"/>
          </a:p>
        </c:txPr>
        <c:crossAx val="402157200"/>
        <c:crosses val="autoZero"/>
        <c:crossBetween val="midCat"/>
      </c:valAx>
      <c:spPr>
        <a:blipFill dpi="0" rotWithShape="1">
          <a:blip xmlns:r="http://schemas.openxmlformats.org/officeDocument/2006/relationships" r:embed="rId1">
            <a:alphaModFix amt="14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tilliumText22L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101084392398686E-2"/>
          <c:y val="4.3328389492756997E-2"/>
          <c:w val="0.79646664812466728"/>
          <c:h val="0.865294921490943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'Curves Value'!$A$5:$B$5</c:f>
              <c:strCache>
                <c:ptCount val="1"/>
                <c:pt idx="0">
                  <c:v>Curve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'Curves Value'!$B$10:$B$74</c:f>
              <c:numCache>
                <c:formatCode>General</c:formatCode>
                <c:ptCount val="65"/>
                <c:pt idx="0">
                  <c:v>2103.4138700017165</c:v>
                </c:pt>
                <c:pt idx="1">
                  <c:v>2102.6280069946088</c:v>
                </c:pt>
                <c:pt idx="2">
                  <c:v>2100.2515449113175</c:v>
                </c:pt>
                <c:pt idx="3">
                  <c:v>2096.2840107449369</c:v>
                </c:pt>
                <c:pt idx="4">
                  <c:v>2090.724660853034</c:v>
                </c:pt>
                <c:pt idx="5">
                  <c:v>2083.5724524562788</c:v>
                </c:pt>
                <c:pt idx="6">
                  <c:v>2074.8260426592419</c:v>
                </c:pt>
                <c:pt idx="7">
                  <c:v>2064.4837871872633</c:v>
                </c:pt>
                <c:pt idx="8">
                  <c:v>2052.5437388366627</c:v>
                </c:pt>
                <c:pt idx="9">
                  <c:v>2039.0036456347871</c:v>
                </c:pt>
                <c:pt idx="10">
                  <c:v>2023.8609487059284</c:v>
                </c:pt>
                <c:pt idx="11">
                  <c:v>2007.1127798382583</c:v>
                </c:pt>
                <c:pt idx="12">
                  <c:v>1988.7559587464557</c:v>
                </c:pt>
                <c:pt idx="13">
                  <c:v>1968.786990023777</c:v>
                </c:pt>
                <c:pt idx="14">
                  <c:v>1947.2020597768071</c:v>
                </c:pt>
                <c:pt idx="15">
                  <c:v>1923.99703193512</c:v>
                </c:pt>
                <c:pt idx="16">
                  <c:v>1899.1674442275112</c:v>
                </c:pt>
                <c:pt idx="17">
                  <c:v>1892.7056554901451</c:v>
                </c:pt>
                <c:pt idx="18">
                  <c:v>1886.1419557013344</c:v>
                </c:pt>
                <c:pt idx="19">
                  <c:v>1879.4762654024139</c:v>
                </c:pt>
                <c:pt idx="20">
                  <c:v>1872.7085038154964</c:v>
                </c:pt>
                <c:pt idx="21">
                  <c:v>1865.8385888384544</c:v>
                </c:pt>
                <c:pt idx="22">
                  <c:v>1858.8664370398074</c:v>
                </c:pt>
                <c:pt idx="23">
                  <c:v>1851.7919636535589</c:v>
                </c:pt>
                <c:pt idx="24">
                  <c:v>1844.6150825738869</c:v>
                </c:pt>
                <c:pt idx="25">
                  <c:v>1837.335706349792</c:v>
                </c:pt>
                <c:pt idx="26">
                  <c:v>1829.9537461795974</c:v>
                </c:pt>
                <c:pt idx="27">
                  <c:v>1805.7043289986048</c:v>
                </c:pt>
                <c:pt idx="28">
                  <c:v>1658.1946188005261</c:v>
                </c:pt>
                <c:pt idx="29">
                  <c:v>1487.8375847738157</c:v>
                </c:pt>
                <c:pt idx="30">
                  <c:v>1280.9241292207246</c:v>
                </c:pt>
                <c:pt idx="31">
                  <c:v>998.45908493146521</c:v>
                </c:pt>
                <c:pt idx="32">
                  <c:v>436.03721221097271</c:v>
                </c:pt>
                <c:pt idx="33">
                  <c:v>-126.38466050951966</c:v>
                </c:pt>
                <c:pt idx="34">
                  <c:v>-408.8497047987791</c:v>
                </c:pt>
                <c:pt idx="35">
                  <c:v>-615.7631603518704</c:v>
                </c:pt>
                <c:pt idx="36">
                  <c:v>-786.12019437858055</c:v>
                </c:pt>
                <c:pt idx="37">
                  <c:v>-933.62990457665921</c:v>
                </c:pt>
                <c:pt idx="38">
                  <c:v>-1065.0430243874125</c:v>
                </c:pt>
                <c:pt idx="39">
                  <c:v>-1184.280757871584</c:v>
                </c:pt>
                <c:pt idx="40">
                  <c:v>-1293.8625979537446</c:v>
                </c:pt>
                <c:pt idx="41">
                  <c:v>-1395.5224957463379</c:v>
                </c:pt>
                <c:pt idx="42">
                  <c:v>-1490.5149298258546</c:v>
                </c:pt>
                <c:pt idx="43">
                  <c:v>-1579.7827027938324</c:v>
                </c:pt>
                <c:pt idx="44">
                  <c:v>-1664.055948827973</c:v>
                </c:pt>
                <c:pt idx="45">
                  <c:v>-1743.9139849318431</c:v>
                </c:pt>
                <c:pt idx="46">
                  <c:v>-1819.8257580014281</c:v>
                </c:pt>
                <c:pt idx="47">
                  <c:v>-1892.1773054819118</c:v>
                </c:pt>
                <c:pt idx="48">
                  <c:v>-1961.2909926841312</c:v>
                </c:pt>
                <c:pt idx="49">
                  <c:v>-2210.2672041472465</c:v>
                </c:pt>
                <c:pt idx="50">
                  <c:v>-2423.6174716970077</c:v>
                </c:pt>
                <c:pt idx="51">
                  <c:v>-2608.8398072210261</c:v>
                </c:pt>
                <c:pt idx="52">
                  <c:v>-2770.8117896663753</c:v>
                </c:pt>
                <c:pt idx="53">
                  <c:v>-2912.9086343692293</c:v>
                </c:pt>
                <c:pt idx="54">
                  <c:v>-3037.5703290809679</c:v>
                </c:pt>
                <c:pt idx="55">
                  <c:v>-3146.6173516036979</c:v>
                </c:pt>
                <c:pt idx="56">
                  <c:v>-3241.4390149633577</c:v>
                </c:pt>
                <c:pt idx="57">
                  <c:v>-3323.1119447593928</c:v>
                </c:pt>
                <c:pt idx="58">
                  <c:v>-3392.4777312596766</c:v>
                </c:pt>
                <c:pt idx="59">
                  <c:v>-3450.1954449408786</c:v>
                </c:pt>
                <c:pt idx="60">
                  <c:v>-3496.7779580910092</c:v>
                </c:pt>
                <c:pt idx="61">
                  <c:v>-3532.617391947681</c:v>
                </c:pt>
                <c:pt idx="62">
                  <c:v>-3558.0029572878707</c:v>
                </c:pt>
                <c:pt idx="63">
                  <c:v>-3573.133236789597</c:v>
                </c:pt>
                <c:pt idx="64">
                  <c:v>-3578.1241955823052</c:v>
                </c:pt>
              </c:numCache>
            </c:numRef>
          </c:xVal>
          <c:yVal>
            <c:numRef>
              <c:f>'Curves Value'!$A$10:$A$74</c:f>
              <c:numCache>
                <c:formatCode>General</c:formatCode>
                <c:ptCount val="65"/>
                <c:pt idx="0">
                  <c:v>0</c:v>
                </c:pt>
                <c:pt idx="1">
                  <c:v>200.11380641108403</c:v>
                </c:pt>
                <c:pt idx="2">
                  <c:v>401.41792322392644</c:v>
                </c:pt>
                <c:pt idx="3">
                  <c:v>602.72204003676893</c:v>
                </c:pt>
                <c:pt idx="4">
                  <c:v>804.02615684961131</c:v>
                </c:pt>
                <c:pt idx="5">
                  <c:v>1005.3302736624538</c:v>
                </c:pt>
                <c:pt idx="6">
                  <c:v>1206.6343904752962</c:v>
                </c:pt>
                <c:pt idx="7">
                  <c:v>1407.9385072881387</c:v>
                </c:pt>
                <c:pt idx="8">
                  <c:v>1609.2426241009809</c:v>
                </c:pt>
                <c:pt idx="9">
                  <c:v>1810.5467409138234</c:v>
                </c:pt>
                <c:pt idx="10">
                  <c:v>2011.8508577266659</c:v>
                </c:pt>
                <c:pt idx="11">
                  <c:v>2213.1549745395087</c:v>
                </c:pt>
                <c:pt idx="12">
                  <c:v>2414.4590913523512</c:v>
                </c:pt>
                <c:pt idx="13">
                  <c:v>2615.7632081651936</c:v>
                </c:pt>
                <c:pt idx="14">
                  <c:v>2817.0673249780357</c:v>
                </c:pt>
                <c:pt idx="15">
                  <c:v>3018.3714417908782</c:v>
                </c:pt>
                <c:pt idx="16">
                  <c:v>3219.6755586037207</c:v>
                </c:pt>
                <c:pt idx="17">
                  <c:v>3270.0015878069312</c:v>
                </c:pt>
                <c:pt idx="18">
                  <c:v>3320.3276170101417</c:v>
                </c:pt>
                <c:pt idx="19">
                  <c:v>3370.6536462133522</c:v>
                </c:pt>
                <c:pt idx="20">
                  <c:v>3420.9796754165627</c:v>
                </c:pt>
                <c:pt idx="21">
                  <c:v>3471.3057046197732</c:v>
                </c:pt>
                <c:pt idx="22">
                  <c:v>3521.6317338229837</c:v>
                </c:pt>
                <c:pt idx="23">
                  <c:v>3571.9577630261942</c:v>
                </c:pt>
                <c:pt idx="24">
                  <c:v>3622.2837922294048</c:v>
                </c:pt>
                <c:pt idx="25">
                  <c:v>3672.6098214326153</c:v>
                </c:pt>
                <c:pt idx="26">
                  <c:v>3722.9358506358258</c:v>
                </c:pt>
                <c:pt idx="27">
                  <c:v>3773.2618798390363</c:v>
                </c:pt>
                <c:pt idx="28">
                  <c:v>3823.5879090422468</c:v>
                </c:pt>
                <c:pt idx="29">
                  <c:v>3873.9139382454573</c:v>
                </c:pt>
                <c:pt idx="30">
                  <c:v>3924.2399674486678</c:v>
                </c:pt>
                <c:pt idx="31">
                  <c:v>3974.5659966518783</c:v>
                </c:pt>
                <c:pt idx="32">
                  <c:v>4002.2761282216802</c:v>
                </c:pt>
                <c:pt idx="33">
                  <c:v>3974.5659966518783</c:v>
                </c:pt>
                <c:pt idx="34">
                  <c:v>3924.2399674486678</c:v>
                </c:pt>
                <c:pt idx="35">
                  <c:v>3873.9139382454573</c:v>
                </c:pt>
                <c:pt idx="36">
                  <c:v>3823.5879090422468</c:v>
                </c:pt>
                <c:pt idx="37">
                  <c:v>3773.2618798390363</c:v>
                </c:pt>
                <c:pt idx="38">
                  <c:v>3722.9358506358258</c:v>
                </c:pt>
                <c:pt idx="39">
                  <c:v>3672.6098214326153</c:v>
                </c:pt>
                <c:pt idx="40">
                  <c:v>3622.2837922294048</c:v>
                </c:pt>
                <c:pt idx="41">
                  <c:v>3571.9577630261942</c:v>
                </c:pt>
                <c:pt idx="42">
                  <c:v>3521.6317338229837</c:v>
                </c:pt>
                <c:pt idx="43">
                  <c:v>3471.3057046197732</c:v>
                </c:pt>
                <c:pt idx="44">
                  <c:v>3420.9796754165627</c:v>
                </c:pt>
                <c:pt idx="45">
                  <c:v>3370.6536462133522</c:v>
                </c:pt>
                <c:pt idx="46">
                  <c:v>3320.3276170101417</c:v>
                </c:pt>
                <c:pt idx="47">
                  <c:v>3270.0015878069312</c:v>
                </c:pt>
                <c:pt idx="48">
                  <c:v>3219.6755586037207</c:v>
                </c:pt>
                <c:pt idx="49">
                  <c:v>3018.3714417908782</c:v>
                </c:pt>
                <c:pt idx="50">
                  <c:v>2817.0673249780357</c:v>
                </c:pt>
                <c:pt idx="51">
                  <c:v>2615.7632081651936</c:v>
                </c:pt>
                <c:pt idx="52">
                  <c:v>2414.4590913523512</c:v>
                </c:pt>
                <c:pt idx="53">
                  <c:v>2213.1549745395087</c:v>
                </c:pt>
                <c:pt idx="54">
                  <c:v>2011.8508577266662</c:v>
                </c:pt>
                <c:pt idx="55">
                  <c:v>1810.5467409138237</c:v>
                </c:pt>
                <c:pt idx="56">
                  <c:v>1609.2426241009812</c:v>
                </c:pt>
                <c:pt idx="57">
                  <c:v>1407.9385072881389</c:v>
                </c:pt>
                <c:pt idx="58">
                  <c:v>1206.6343904752964</c:v>
                </c:pt>
                <c:pt idx="59">
                  <c:v>1005.330273662454</c:v>
                </c:pt>
                <c:pt idx="60">
                  <c:v>804.02615684961154</c:v>
                </c:pt>
                <c:pt idx="61">
                  <c:v>602.72204003676916</c:v>
                </c:pt>
                <c:pt idx="62">
                  <c:v>401.41792322392666</c:v>
                </c:pt>
                <c:pt idx="63">
                  <c:v>200.11380641108423</c:v>
                </c:pt>
                <c:pt idx="64">
                  <c:v>-1.1903104017582373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AA-49AD-8A83-66AC6E542F50}"/>
            </c:ext>
          </c:extLst>
        </c:ser>
        <c:ser>
          <c:idx val="1"/>
          <c:order val="1"/>
          <c:tx>
            <c:strRef>
              <c:f>'Curves Value'!$C$5:$D$5</c:f>
              <c:strCache>
                <c:ptCount val="1"/>
                <c:pt idx="0">
                  <c:v>Curve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'Curves Value'!$D$10:$D$74</c:f>
              <c:numCache>
                <c:formatCode>General</c:formatCode>
                <c:ptCount val="65"/>
                <c:pt idx="0">
                  <c:v>4450.1987964843011</c:v>
                </c:pt>
                <c:pt idx="1">
                  <c:v>4445.2076612115416</c:v>
                </c:pt>
                <c:pt idx="2">
                  <c:v>4430.0773817098161</c:v>
                </c:pt>
                <c:pt idx="3">
                  <c:v>4404.6918163696255</c:v>
                </c:pt>
                <c:pt idx="4">
                  <c:v>4368.8523825129541</c:v>
                </c:pt>
                <c:pt idx="5">
                  <c:v>4322.2698693628236</c:v>
                </c:pt>
                <c:pt idx="6">
                  <c:v>4264.552155681622</c:v>
                </c:pt>
                <c:pt idx="7">
                  <c:v>4195.1863691813378</c:v>
                </c:pt>
                <c:pt idx="8">
                  <c:v>4113.5134393853032</c:v>
                </c:pt>
                <c:pt idx="9">
                  <c:v>4018.6917760256438</c:v>
                </c:pt>
                <c:pt idx="10">
                  <c:v>3909.6447535029129</c:v>
                </c:pt>
                <c:pt idx="11">
                  <c:v>3784.9830587911747</c:v>
                </c:pt>
                <c:pt idx="12">
                  <c:v>3642.8862140883198</c:v>
                </c:pt>
                <c:pt idx="13">
                  <c:v>3480.9142316429716</c:v>
                </c:pt>
                <c:pt idx="14">
                  <c:v>3295.691896118954</c:v>
                </c:pt>
                <c:pt idx="15">
                  <c:v>3082.3416285691924</c:v>
                </c:pt>
                <c:pt idx="16">
                  <c:v>2833.3654171060771</c:v>
                </c:pt>
                <c:pt idx="17">
                  <c:v>2764.2517299038577</c:v>
                </c:pt>
                <c:pt idx="18">
                  <c:v>2691.9001824233737</c:v>
                </c:pt>
                <c:pt idx="19">
                  <c:v>2615.988409353788</c:v>
                </c:pt>
                <c:pt idx="20">
                  <c:v>2536.1303732499191</c:v>
                </c:pt>
                <c:pt idx="21">
                  <c:v>2451.8571272157783</c:v>
                </c:pt>
                <c:pt idx="22">
                  <c:v>2362.5893542478002</c:v>
                </c:pt>
                <c:pt idx="23">
                  <c:v>2267.5969201682833</c:v>
                </c:pt>
                <c:pt idx="24">
                  <c:v>2165.9370223756905</c:v>
                </c:pt>
                <c:pt idx="25">
                  <c:v>2056.3551822935292</c:v>
                </c:pt>
                <c:pt idx="26">
                  <c:v>1937.1174488093579</c:v>
                </c:pt>
                <c:pt idx="27">
                  <c:v>1805.7043289986048</c:v>
                </c:pt>
                <c:pt idx="28">
                  <c:v>1658.1946188005261</c:v>
                </c:pt>
                <c:pt idx="29">
                  <c:v>1487.8375847738157</c:v>
                </c:pt>
                <c:pt idx="30">
                  <c:v>1280.9241292207246</c:v>
                </c:pt>
                <c:pt idx="31">
                  <c:v>998.45908493146521</c:v>
                </c:pt>
                <c:pt idx="32">
                  <c:v>436.03721221097271</c:v>
                </c:pt>
                <c:pt idx="33">
                  <c:v>-126.38466050951966</c:v>
                </c:pt>
                <c:pt idx="34">
                  <c:v>-408.8497047987791</c:v>
                </c:pt>
                <c:pt idx="35">
                  <c:v>-615.7631603518704</c:v>
                </c:pt>
                <c:pt idx="36">
                  <c:v>-786.12019437858055</c:v>
                </c:pt>
                <c:pt idx="37">
                  <c:v>-933.62990457665921</c:v>
                </c:pt>
                <c:pt idx="38">
                  <c:v>-1065.0430243874125</c:v>
                </c:pt>
                <c:pt idx="39">
                  <c:v>-1184.280757871584</c:v>
                </c:pt>
                <c:pt idx="40">
                  <c:v>-1293.8625979537446</c:v>
                </c:pt>
                <c:pt idx="41">
                  <c:v>-1395.5224957463379</c:v>
                </c:pt>
                <c:pt idx="42">
                  <c:v>-1490.5149298258546</c:v>
                </c:pt>
                <c:pt idx="43">
                  <c:v>-1579.7827027938324</c:v>
                </c:pt>
                <c:pt idx="44">
                  <c:v>-1664.055948827973</c:v>
                </c:pt>
                <c:pt idx="45">
                  <c:v>-1743.9139849318431</c:v>
                </c:pt>
                <c:pt idx="46">
                  <c:v>-1819.8257580014281</c:v>
                </c:pt>
                <c:pt idx="47">
                  <c:v>-1892.1773054819118</c:v>
                </c:pt>
                <c:pt idx="48">
                  <c:v>-1961.2909926841312</c:v>
                </c:pt>
                <c:pt idx="49">
                  <c:v>-2210.2672041472465</c:v>
                </c:pt>
                <c:pt idx="50">
                  <c:v>-2423.6174716970077</c:v>
                </c:pt>
                <c:pt idx="51">
                  <c:v>-2608.8398072210261</c:v>
                </c:pt>
                <c:pt idx="52">
                  <c:v>-2770.8117896663753</c:v>
                </c:pt>
                <c:pt idx="53">
                  <c:v>-2912.9086343692293</c:v>
                </c:pt>
                <c:pt idx="54">
                  <c:v>-3037.5703290809679</c:v>
                </c:pt>
                <c:pt idx="55">
                  <c:v>-3146.6173516036979</c:v>
                </c:pt>
                <c:pt idx="56">
                  <c:v>-3241.4390149633577</c:v>
                </c:pt>
                <c:pt idx="57">
                  <c:v>-3323.1119447593928</c:v>
                </c:pt>
                <c:pt idx="58">
                  <c:v>-3392.4777312596766</c:v>
                </c:pt>
                <c:pt idx="59">
                  <c:v>-3450.1954449408786</c:v>
                </c:pt>
                <c:pt idx="60">
                  <c:v>-3496.7779580910092</c:v>
                </c:pt>
                <c:pt idx="61">
                  <c:v>-3532.617391947681</c:v>
                </c:pt>
                <c:pt idx="62">
                  <c:v>-3558.0029572878707</c:v>
                </c:pt>
                <c:pt idx="63">
                  <c:v>-3573.133236789597</c:v>
                </c:pt>
                <c:pt idx="64">
                  <c:v>-3578.1241955823052</c:v>
                </c:pt>
              </c:numCache>
            </c:numRef>
          </c:xVal>
          <c:yVal>
            <c:numRef>
              <c:f>'Curves Value'!$C$10:$C$74</c:f>
              <c:numCache>
                <c:formatCode>General</c:formatCode>
                <c:ptCount val="65"/>
                <c:pt idx="0">
                  <c:v>0</c:v>
                </c:pt>
                <c:pt idx="1">
                  <c:v>200.11380641108403</c:v>
                </c:pt>
                <c:pt idx="2">
                  <c:v>401.41792322392644</c:v>
                </c:pt>
                <c:pt idx="3">
                  <c:v>602.72204003676893</c:v>
                </c:pt>
                <c:pt idx="4">
                  <c:v>804.02615684961131</c:v>
                </c:pt>
                <c:pt idx="5">
                  <c:v>1005.3302736624538</c:v>
                </c:pt>
                <c:pt idx="6">
                  <c:v>1206.6343904752962</c:v>
                </c:pt>
                <c:pt idx="7">
                  <c:v>1407.9385072881387</c:v>
                </c:pt>
                <c:pt idx="8">
                  <c:v>1609.2426241009809</c:v>
                </c:pt>
                <c:pt idx="9">
                  <c:v>1810.5467409138234</c:v>
                </c:pt>
                <c:pt idx="10">
                  <c:v>2011.8508577266659</c:v>
                </c:pt>
                <c:pt idx="11">
                  <c:v>2213.1549745395087</c:v>
                </c:pt>
                <c:pt idx="12">
                  <c:v>2414.4590913523512</c:v>
                </c:pt>
                <c:pt idx="13">
                  <c:v>2615.7632081651936</c:v>
                </c:pt>
                <c:pt idx="14">
                  <c:v>2817.0673249780357</c:v>
                </c:pt>
                <c:pt idx="15">
                  <c:v>3018.3714417908782</c:v>
                </c:pt>
                <c:pt idx="16">
                  <c:v>3219.6755586037207</c:v>
                </c:pt>
                <c:pt idx="17">
                  <c:v>3270.0015878069312</c:v>
                </c:pt>
                <c:pt idx="18">
                  <c:v>3320.3276170101417</c:v>
                </c:pt>
                <c:pt idx="19">
                  <c:v>3370.6536462133522</c:v>
                </c:pt>
                <c:pt idx="20">
                  <c:v>3420.9796754165627</c:v>
                </c:pt>
                <c:pt idx="21">
                  <c:v>3471.3057046197732</c:v>
                </c:pt>
                <c:pt idx="22">
                  <c:v>3521.6317338229837</c:v>
                </c:pt>
                <c:pt idx="23">
                  <c:v>3571.9577630261942</c:v>
                </c:pt>
                <c:pt idx="24">
                  <c:v>3622.2837922294048</c:v>
                </c:pt>
                <c:pt idx="25">
                  <c:v>3672.6098214326153</c:v>
                </c:pt>
                <c:pt idx="26">
                  <c:v>3722.9358506358258</c:v>
                </c:pt>
                <c:pt idx="27">
                  <c:v>3773.2618798390363</c:v>
                </c:pt>
                <c:pt idx="28">
                  <c:v>3823.5879090422468</c:v>
                </c:pt>
                <c:pt idx="29">
                  <c:v>3873.9139382454573</c:v>
                </c:pt>
                <c:pt idx="30">
                  <c:v>3924.2399674486678</c:v>
                </c:pt>
                <c:pt idx="31">
                  <c:v>3974.5659966518783</c:v>
                </c:pt>
                <c:pt idx="32">
                  <c:v>4002.2761282216802</c:v>
                </c:pt>
                <c:pt idx="33">
                  <c:v>3974.5659966518783</c:v>
                </c:pt>
                <c:pt idx="34">
                  <c:v>3924.2399674486678</c:v>
                </c:pt>
                <c:pt idx="35">
                  <c:v>3873.9139382454573</c:v>
                </c:pt>
                <c:pt idx="36">
                  <c:v>3823.5879090422468</c:v>
                </c:pt>
                <c:pt idx="37">
                  <c:v>3773.2618798390363</c:v>
                </c:pt>
                <c:pt idx="38">
                  <c:v>3722.9358506358258</c:v>
                </c:pt>
                <c:pt idx="39">
                  <c:v>3672.6098214326153</c:v>
                </c:pt>
                <c:pt idx="40">
                  <c:v>3622.2837922294048</c:v>
                </c:pt>
                <c:pt idx="41">
                  <c:v>3571.9577630261942</c:v>
                </c:pt>
                <c:pt idx="42">
                  <c:v>3521.6317338229837</c:v>
                </c:pt>
                <c:pt idx="43">
                  <c:v>3471.3057046197732</c:v>
                </c:pt>
                <c:pt idx="44">
                  <c:v>3420.9796754165627</c:v>
                </c:pt>
                <c:pt idx="45">
                  <c:v>3370.6536462133522</c:v>
                </c:pt>
                <c:pt idx="46">
                  <c:v>3320.3276170101417</c:v>
                </c:pt>
                <c:pt idx="47">
                  <c:v>3270.0015878069312</c:v>
                </c:pt>
                <c:pt idx="48">
                  <c:v>3219.6755586037207</c:v>
                </c:pt>
                <c:pt idx="49">
                  <c:v>3018.3714417908782</c:v>
                </c:pt>
                <c:pt idx="50">
                  <c:v>2817.0673249780357</c:v>
                </c:pt>
                <c:pt idx="51">
                  <c:v>2615.7632081651936</c:v>
                </c:pt>
                <c:pt idx="52">
                  <c:v>2414.4590913523512</c:v>
                </c:pt>
                <c:pt idx="53">
                  <c:v>2213.1549745395087</c:v>
                </c:pt>
                <c:pt idx="54">
                  <c:v>2011.8508577266662</c:v>
                </c:pt>
                <c:pt idx="55">
                  <c:v>1810.5467409138237</c:v>
                </c:pt>
                <c:pt idx="56">
                  <c:v>1609.2426241009812</c:v>
                </c:pt>
                <c:pt idx="57">
                  <c:v>1407.9385072881389</c:v>
                </c:pt>
                <c:pt idx="58">
                  <c:v>1206.6343904752964</c:v>
                </c:pt>
                <c:pt idx="59">
                  <c:v>1005.330273662454</c:v>
                </c:pt>
                <c:pt idx="60">
                  <c:v>804.02615684961154</c:v>
                </c:pt>
                <c:pt idx="61">
                  <c:v>602.72204003676916</c:v>
                </c:pt>
                <c:pt idx="62">
                  <c:v>401.41792322392666</c:v>
                </c:pt>
                <c:pt idx="63">
                  <c:v>200.11380641108423</c:v>
                </c:pt>
                <c:pt idx="64">
                  <c:v>-1.1903104017582373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AA-49AD-8A83-66AC6E542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65904"/>
        <c:axId val="40216046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'Curves Value'!$E$5:$F$5</c15:sqref>
                        </c15:formulaRef>
                      </c:ext>
                    </c:extLst>
                    <c:strCache>
                      <c:ptCount val="1"/>
                      <c:pt idx="0">
                        <c:v>Curve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'Curves Value'!$F$10:$F$74</c15:sqref>
                        </c15:formulaRef>
                      </c:ext>
                    </c:extLst>
                    <c:numCache>
                      <c:formatCode>General</c:formatCode>
                      <c:ptCount val="65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'Curves Value'!$E$10:$E$74</c15:sqref>
                        </c15:formulaRef>
                      </c:ext>
                    </c:extLst>
                    <c:numCache>
                      <c:formatCode>General</c:formatCode>
                      <c:ptCount val="65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4AAA-49AD-8A83-66AC6E542F5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Value'!$G$5:$H$5</c15:sqref>
                        </c15:formulaRef>
                      </c:ext>
                    </c:extLst>
                    <c:strCache>
                      <c:ptCount val="1"/>
                      <c:pt idx="0">
                        <c:v>Curve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Value'!$H$10:$H$74</c15:sqref>
                        </c15:formulaRef>
                      </c:ext>
                    </c:extLst>
                    <c:numCache>
                      <c:formatCode>General</c:formatCode>
                      <c:ptCount val="65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Value'!$G$10:$G$74</c15:sqref>
                        </c15:formulaRef>
                      </c:ext>
                    </c:extLst>
                    <c:numCache>
                      <c:formatCode>General</c:formatCode>
                      <c:ptCount val="65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AAA-49AD-8A83-66AC6E542F5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Value'!$I$5:$J$5</c15:sqref>
                        </c15:formulaRef>
                      </c:ext>
                    </c:extLst>
                    <c:strCache>
                      <c:ptCount val="1"/>
                      <c:pt idx="0">
                        <c:v>Curve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Value'!$J$10:$J$74</c15:sqref>
                        </c15:formulaRef>
                      </c:ext>
                    </c:extLst>
                    <c:numCache>
                      <c:formatCode>General</c:formatCode>
                      <c:ptCount val="65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Value'!$I$10:$I$74</c15:sqref>
                        </c15:formulaRef>
                      </c:ext>
                    </c:extLst>
                    <c:numCache>
                      <c:formatCode>General</c:formatCode>
                      <c:ptCount val="65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AAA-49AD-8A83-66AC6E542F5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Value'!$K$5:$L$5</c15:sqref>
                        </c15:formulaRef>
                      </c:ext>
                    </c:extLst>
                    <c:strCache>
                      <c:ptCount val="1"/>
                      <c:pt idx="0">
                        <c:v>Curve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Value'!$L$10:$L$74</c15:sqref>
                        </c15:formulaRef>
                      </c:ext>
                    </c:extLst>
                    <c:numCache>
                      <c:formatCode>General</c:formatCode>
                      <c:ptCount val="65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Value'!$K$10:$K$74</c15:sqref>
                        </c15:formulaRef>
                      </c:ext>
                    </c:extLst>
                    <c:numCache>
                      <c:formatCode>General</c:formatCode>
                      <c:ptCount val="65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AAA-49AD-8A83-66AC6E542F50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Value'!$M$5:$N$5</c15:sqref>
                        </c15:formulaRef>
                      </c:ext>
                    </c:extLst>
                    <c:strCache>
                      <c:ptCount val="1"/>
                      <c:pt idx="0">
                        <c:v>Curve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Value'!$N$10:$N$74</c15:sqref>
                        </c15:formulaRef>
                      </c:ext>
                    </c:extLst>
                    <c:numCache>
                      <c:formatCode>General</c:formatCode>
                      <c:ptCount val="65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'Curves Value'!$M$10:$M$74</c15:sqref>
                        </c15:formulaRef>
                      </c:ext>
                    </c:extLst>
                    <c:numCache>
                      <c:formatCode>General</c:formatCode>
                      <c:ptCount val="65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AAA-49AD-8A83-66AC6E542F50}"/>
                  </c:ext>
                </c:extLst>
              </c15:ser>
            </c15:filteredScatterSeries>
          </c:ext>
        </c:extLst>
      </c:scatterChart>
      <c:valAx>
        <c:axId val="40216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2160464"/>
        <c:crosses val="autoZero"/>
        <c:crossBetween val="midCat"/>
      </c:valAx>
      <c:valAx>
        <c:axId val="40216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216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Ii_Derating!$A$1</c:f>
              <c:strCache>
                <c:ptCount val="1"/>
                <c:pt idx="0">
                  <c:v>Temperature derating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Ii_Derating!$E$3:$H$3</c:f>
              <c:numCache>
                <c:formatCode>General</c:formatCode>
                <c:ptCount val="4"/>
                <c:pt idx="0">
                  <c:v>-20</c:v>
                </c:pt>
                <c:pt idx="1">
                  <c:v>35</c:v>
                </c:pt>
                <c:pt idx="2">
                  <c:v>50</c:v>
                </c:pt>
                <c:pt idx="3">
                  <c:v>60</c:v>
                </c:pt>
              </c:numCache>
            </c:numRef>
          </c:xVal>
          <c:yVal>
            <c:numRef>
              <c:f>Ii_Derating!$E$4:$H$4</c:f>
              <c:numCache>
                <c:formatCode>0%</c:formatCode>
                <c:ptCount val="4"/>
                <c:pt idx="0">
                  <c:v>1.1161904761904762</c:v>
                </c:pt>
                <c:pt idx="1">
                  <c:v>1.1161904761904762</c:v>
                </c:pt>
                <c:pt idx="2" formatCode="0.0%">
                  <c:v>1</c:v>
                </c:pt>
                <c:pt idx="3" formatCode="0.0%">
                  <c:v>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F-45F9-AEF7-B165657E8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61008"/>
        <c:axId val="402161552"/>
      </c:scatterChart>
      <c:valAx>
        <c:axId val="402161008"/>
        <c:scaling>
          <c:orientation val="minMax"/>
          <c:max val="70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2161552"/>
        <c:crosses val="autoZero"/>
        <c:crossBetween val="midCat"/>
      </c:valAx>
      <c:valAx>
        <c:axId val="4021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Ii(T)(%)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216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Ii_Derating!$A$17</c:f>
              <c:strCache>
                <c:ptCount val="1"/>
                <c:pt idx="0">
                  <c:v>Ii DC Voltage derating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Ii_Derating!$B$19:$G$19</c:f>
              <c:numCache>
                <c:formatCode>General</c:formatCode>
                <c:ptCount val="6"/>
                <c:pt idx="0">
                  <c:v>500</c:v>
                </c:pt>
                <c:pt idx="1">
                  <c:v>950</c:v>
                </c:pt>
                <c:pt idx="2">
                  <c:v>1250</c:v>
                </c:pt>
                <c:pt idx="3">
                  <c:v>1350</c:v>
                </c:pt>
                <c:pt idx="4">
                  <c:v>1500</c:v>
                </c:pt>
                <c:pt idx="5">
                  <c:v>1500</c:v>
                </c:pt>
              </c:numCache>
            </c:numRef>
          </c:xVal>
          <c:yVal>
            <c:numRef>
              <c:f>Ii_Derating!$B$20:$G$20</c:f>
              <c:numCache>
                <c:formatCode>0%</c:formatCode>
                <c:ptCount val="6"/>
                <c:pt idx="0">
                  <c:v>1.1499999999999999</c:v>
                </c:pt>
                <c:pt idx="1">
                  <c:v>1.1499999999999999</c:v>
                </c:pt>
                <c:pt idx="2">
                  <c:v>1</c:v>
                </c:pt>
                <c:pt idx="3">
                  <c:v>0.45</c:v>
                </c:pt>
                <c:pt idx="4">
                  <c:v>0.05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E6-4892-B8DB-71C4FAF0F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65360"/>
        <c:axId val="402166448"/>
      </c:scatterChart>
      <c:valAx>
        <c:axId val="402165360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Vdc(V)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2166448"/>
        <c:crosses val="autoZero"/>
        <c:crossBetween val="midCat"/>
      </c:valAx>
      <c:valAx>
        <c:axId val="4021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Ii(T)(%)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216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  <a:r>
              <a:rPr lang="en-US" baseline="0"/>
              <a:t> derating @ Vdc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Ii_Derating!$D$41</c:f>
              <c:strCache>
                <c:ptCount val="1"/>
                <c:pt idx="0">
                  <c:v>S(kVA) @ 1250V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Ii_Derating!$C$42:$C$45</c:f>
              <c:numCache>
                <c:formatCode>General</c:formatCode>
                <c:ptCount val="4"/>
                <c:pt idx="0">
                  <c:v>-20</c:v>
                </c:pt>
                <c:pt idx="1">
                  <c:v>35</c:v>
                </c:pt>
                <c:pt idx="2">
                  <c:v>50</c:v>
                </c:pt>
                <c:pt idx="3">
                  <c:v>60</c:v>
                </c:pt>
              </c:numCache>
            </c:numRef>
          </c:xVal>
          <c:yVal>
            <c:numRef>
              <c:f>Ii_Derating!$D$42:$D$45</c:f>
              <c:numCache>
                <c:formatCode>0</c:formatCode>
                <c:ptCount val="4"/>
                <c:pt idx="0">
                  <c:v>3775.7321964355474</c:v>
                </c:pt>
                <c:pt idx="1">
                  <c:v>3775.7321964355474</c:v>
                </c:pt>
                <c:pt idx="2">
                  <c:v>3382.6952271820178</c:v>
                </c:pt>
                <c:pt idx="3">
                  <c:v>2435.5405635710526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12-44FC-A3EC-EDBA790A7A16}"/>
            </c:ext>
          </c:extLst>
        </c:ser>
        <c:ser>
          <c:idx val="1"/>
          <c:order val="1"/>
          <c:tx>
            <c:strRef>
              <c:f>Ii_Derating!$E$41</c:f>
              <c:strCache>
                <c:ptCount val="1"/>
                <c:pt idx="0">
                  <c:v>S(kVA) @ 1200V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Ii_Derating!$C$42:$C$45</c:f>
              <c:numCache>
                <c:formatCode>General</c:formatCode>
                <c:ptCount val="4"/>
                <c:pt idx="0">
                  <c:v>-20</c:v>
                </c:pt>
                <c:pt idx="1">
                  <c:v>35</c:v>
                </c:pt>
                <c:pt idx="2">
                  <c:v>50</c:v>
                </c:pt>
                <c:pt idx="3">
                  <c:v>60</c:v>
                </c:pt>
              </c:numCache>
            </c:numRef>
          </c:xVal>
          <c:yVal>
            <c:numRef>
              <c:f>Ii_Derating!$E$42:$E$45</c:f>
              <c:numCache>
                <c:formatCode>0</c:formatCode>
                <c:ptCount val="4"/>
                <c:pt idx="0">
                  <c:v>3871.3067599971978</c:v>
                </c:pt>
                <c:pt idx="1">
                  <c:v>3871.3067599971978</c:v>
                </c:pt>
                <c:pt idx="2">
                  <c:v>3468.3209027278649</c:v>
                </c:pt>
                <c:pt idx="3">
                  <c:v>2497.1910499640626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2-44FC-A3EC-EDBA790A7A16}"/>
            </c:ext>
          </c:extLst>
        </c:ser>
        <c:ser>
          <c:idx val="2"/>
          <c:order val="2"/>
          <c:tx>
            <c:strRef>
              <c:f>Ii_Derating!$F$41</c:f>
              <c:strCache>
                <c:ptCount val="1"/>
                <c:pt idx="0">
                  <c:v>S(kVA) @ 1100V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Ii_Derating!$C$42:$C$45</c:f>
              <c:numCache>
                <c:formatCode>General</c:formatCode>
                <c:ptCount val="4"/>
                <c:pt idx="0">
                  <c:v>-20</c:v>
                </c:pt>
                <c:pt idx="1">
                  <c:v>35</c:v>
                </c:pt>
                <c:pt idx="2">
                  <c:v>50</c:v>
                </c:pt>
                <c:pt idx="3">
                  <c:v>60</c:v>
                </c:pt>
              </c:numCache>
            </c:numRef>
          </c:xVal>
          <c:yVal>
            <c:numRef>
              <c:f>Ii_Derating!$F$42:$F$45</c:f>
              <c:numCache>
                <c:formatCode>0</c:formatCode>
                <c:ptCount val="4"/>
                <c:pt idx="0">
                  <c:v>4062.455887120499</c:v>
                </c:pt>
                <c:pt idx="1">
                  <c:v>4062.455887120499</c:v>
                </c:pt>
                <c:pt idx="2">
                  <c:v>3639.5722538195596</c:v>
                </c:pt>
                <c:pt idx="3">
                  <c:v>2620.4920227500829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12-44FC-A3EC-EDBA790A7A16}"/>
            </c:ext>
          </c:extLst>
        </c:ser>
        <c:ser>
          <c:idx val="3"/>
          <c:order val="3"/>
          <c:tx>
            <c:strRef>
              <c:f>Ii_Derating!$G$41</c:f>
              <c:strCache>
                <c:ptCount val="1"/>
                <c:pt idx="0">
                  <c:v>S(kVA) @ 1000V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Ii_Derating!$C$42:$C$45</c:f>
              <c:numCache>
                <c:formatCode>General</c:formatCode>
                <c:ptCount val="4"/>
                <c:pt idx="0">
                  <c:v>-20</c:v>
                </c:pt>
                <c:pt idx="1">
                  <c:v>35</c:v>
                </c:pt>
                <c:pt idx="2">
                  <c:v>50</c:v>
                </c:pt>
                <c:pt idx="3">
                  <c:v>60</c:v>
                </c:pt>
              </c:numCache>
            </c:numRef>
          </c:xVal>
          <c:yVal>
            <c:numRef>
              <c:f>Ii_Derating!$G$42:$G$45</c:f>
              <c:numCache>
                <c:formatCode>0</c:formatCode>
                <c:ptCount val="4"/>
                <c:pt idx="0">
                  <c:v>4253.6050142438007</c:v>
                </c:pt>
                <c:pt idx="1">
                  <c:v>4253.6050142438007</c:v>
                </c:pt>
                <c:pt idx="2">
                  <c:v>3810.8236049112547</c:v>
                </c:pt>
                <c:pt idx="3">
                  <c:v>2743.7929955361033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12-44FC-A3EC-EDBA790A7A16}"/>
            </c:ext>
          </c:extLst>
        </c:ser>
        <c:ser>
          <c:idx val="4"/>
          <c:order val="4"/>
          <c:tx>
            <c:strRef>
              <c:f>Ii_Derating!$H$41</c:f>
              <c:strCache>
                <c:ptCount val="1"/>
                <c:pt idx="0">
                  <c:v>S(kVA) @ 950V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Ii_Derating!$C$42:$C$45</c:f>
              <c:numCache>
                <c:formatCode>General</c:formatCode>
                <c:ptCount val="4"/>
                <c:pt idx="0">
                  <c:v>-20</c:v>
                </c:pt>
                <c:pt idx="1">
                  <c:v>35</c:v>
                </c:pt>
                <c:pt idx="2">
                  <c:v>50</c:v>
                </c:pt>
                <c:pt idx="3">
                  <c:v>60</c:v>
                </c:pt>
              </c:numCache>
            </c:numRef>
          </c:xVal>
          <c:yVal>
            <c:numRef>
              <c:f>Ii_Derating!$H$42:$H$45</c:f>
              <c:numCache>
                <c:formatCode>0</c:formatCode>
                <c:ptCount val="4"/>
                <c:pt idx="0">
                  <c:v>4349.1795778054511</c:v>
                </c:pt>
                <c:pt idx="1">
                  <c:v>4349.1795778054511</c:v>
                </c:pt>
                <c:pt idx="2">
                  <c:v>3896.4492804571023</c:v>
                </c:pt>
                <c:pt idx="3">
                  <c:v>2805.4434819291132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12-44FC-A3EC-EDBA790A7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68624"/>
        <c:axId val="237189072"/>
      </c:scatterChart>
      <c:valAx>
        <c:axId val="40216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7189072"/>
        <c:crosses val="autoZero"/>
        <c:crossBetween val="midCat"/>
      </c:valAx>
      <c:valAx>
        <c:axId val="2371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Ii(T)(%)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216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158488573074703"/>
          <c:y val="0.46243394575678043"/>
          <c:w val="0.18182974841559441"/>
          <c:h val="0.3125021872265966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Voltage</a:t>
            </a:r>
            <a:r>
              <a:rPr lang="es-ES" baseline="0"/>
              <a:t> derating @ T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Ii_Derating!$D$49</c:f>
              <c:strCache>
                <c:ptCount val="1"/>
                <c:pt idx="0">
                  <c:v>S(kVA) @ 30ºC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Ii_Derating!$C$50:$C$54</c:f>
              <c:numCache>
                <c:formatCode>General</c:formatCode>
                <c:ptCount val="5"/>
                <c:pt idx="0">
                  <c:v>500</c:v>
                </c:pt>
                <c:pt idx="1">
                  <c:v>950</c:v>
                </c:pt>
                <c:pt idx="2">
                  <c:v>1250</c:v>
                </c:pt>
                <c:pt idx="3">
                  <c:v>1350</c:v>
                </c:pt>
                <c:pt idx="4">
                  <c:v>1500</c:v>
                </c:pt>
              </c:numCache>
            </c:numRef>
          </c:xVal>
          <c:yVal>
            <c:numRef>
              <c:f>Ii_Derating!$D$50:$D$54</c:f>
              <c:numCache>
                <c:formatCode>0</c:formatCode>
                <c:ptCount val="5"/>
                <c:pt idx="0">
                  <c:v>4349.1795778054511</c:v>
                </c:pt>
                <c:pt idx="1">
                  <c:v>4349.1795778054511</c:v>
                </c:pt>
                <c:pt idx="2">
                  <c:v>3775.7321964355474</c:v>
                </c:pt>
                <c:pt idx="3">
                  <c:v>1699.0794883959963</c:v>
                </c:pt>
                <c:pt idx="4">
                  <c:v>188.7866098217774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B1-4F88-8CFE-431CF784C330}"/>
            </c:ext>
          </c:extLst>
        </c:ser>
        <c:ser>
          <c:idx val="1"/>
          <c:order val="1"/>
          <c:tx>
            <c:strRef>
              <c:f>Ii_Derating!$E$49</c:f>
              <c:strCache>
                <c:ptCount val="1"/>
                <c:pt idx="0">
                  <c:v>S(kVA) @ 40ºC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Ii_Derating!$C$50:$C$54</c:f>
              <c:numCache>
                <c:formatCode>General</c:formatCode>
                <c:ptCount val="5"/>
                <c:pt idx="0">
                  <c:v>500</c:v>
                </c:pt>
                <c:pt idx="1">
                  <c:v>950</c:v>
                </c:pt>
                <c:pt idx="2">
                  <c:v>1250</c:v>
                </c:pt>
                <c:pt idx="3">
                  <c:v>1350</c:v>
                </c:pt>
                <c:pt idx="4">
                  <c:v>1500</c:v>
                </c:pt>
              </c:numCache>
            </c:numRef>
          </c:xVal>
          <c:yVal>
            <c:numRef>
              <c:f>Ii_Derating!$E$50:$E$54</c:f>
              <c:numCache>
                <c:formatCode>0</c:formatCode>
                <c:ptCount val="5"/>
                <c:pt idx="0">
                  <c:v>4198.2694786893353</c:v>
                </c:pt>
                <c:pt idx="1">
                  <c:v>4198.2694786893353</c:v>
                </c:pt>
                <c:pt idx="2">
                  <c:v>3644.7198733510377</c:v>
                </c:pt>
                <c:pt idx="3">
                  <c:v>1640.123943007967</c:v>
                </c:pt>
                <c:pt idx="4">
                  <c:v>182.2359936675519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B1-4F88-8CFE-431CF784C330}"/>
            </c:ext>
          </c:extLst>
        </c:ser>
        <c:ser>
          <c:idx val="2"/>
          <c:order val="2"/>
          <c:tx>
            <c:strRef>
              <c:f>Ii_Derating!$F$49</c:f>
              <c:strCache>
                <c:ptCount val="1"/>
                <c:pt idx="0">
                  <c:v>S(kVA) @ 50ºC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Ii_Derating!$C$50:$C$54</c:f>
              <c:numCache>
                <c:formatCode>General</c:formatCode>
                <c:ptCount val="5"/>
                <c:pt idx="0">
                  <c:v>500</c:v>
                </c:pt>
                <c:pt idx="1">
                  <c:v>950</c:v>
                </c:pt>
                <c:pt idx="2">
                  <c:v>1250</c:v>
                </c:pt>
                <c:pt idx="3">
                  <c:v>1350</c:v>
                </c:pt>
                <c:pt idx="4">
                  <c:v>1500</c:v>
                </c:pt>
              </c:numCache>
            </c:numRef>
          </c:xVal>
          <c:yVal>
            <c:numRef>
              <c:f>Ii_Derating!$F$50:$F$54</c:f>
              <c:numCache>
                <c:formatCode>0</c:formatCode>
                <c:ptCount val="5"/>
                <c:pt idx="0">
                  <c:v>3896.4492804571023</c:v>
                </c:pt>
                <c:pt idx="1">
                  <c:v>3896.4492804571023</c:v>
                </c:pt>
                <c:pt idx="2">
                  <c:v>3382.6952271820178</c:v>
                </c:pt>
                <c:pt idx="3">
                  <c:v>1522.2128522319081</c:v>
                </c:pt>
                <c:pt idx="4">
                  <c:v>169.13476135910091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B1-4F88-8CFE-431CF784C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658096"/>
        <c:axId val="535652112"/>
      </c:scatterChart>
      <c:valAx>
        <c:axId val="535658096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Vdc(V)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5652112"/>
        <c:crosses val="autoZero"/>
        <c:crossBetween val="midCat"/>
      </c:valAx>
      <c:valAx>
        <c:axId val="53565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Ii(T)(%)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5658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561417745487138"/>
          <c:y val="0.46186142320034246"/>
          <c:w val="0.16859768094599034"/>
          <c:h val="0.2083347239769534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115292623968744E-2"/>
          <c:y val="1.182425418023832E-2"/>
          <c:w val="0.97266442885115556"/>
          <c:h val="0.91870898340817564"/>
        </c:manualLayout>
      </c:layout>
      <c:scatterChart>
        <c:scatterStyle val="lineMarker"/>
        <c:varyColors val="0"/>
        <c:ser>
          <c:idx val="0"/>
          <c:order val="0"/>
          <c:tx>
            <c:v>0.9 Cap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'DIGSILENT CAPABILITY TABLES'!$F$4:$AL$4</c:f>
              <c:numCache>
                <c:formatCode>General</c:formatCode>
                <c:ptCount val="33"/>
                <c:pt idx="0">
                  <c:v>0.98506072069656547</c:v>
                </c:pt>
                <c:pt idx="1">
                  <c:v>0.98337358840062994</c:v>
                </c:pt>
                <c:pt idx="2">
                  <c:v>0.97829301463020291</c:v>
                </c:pt>
                <c:pt idx="3">
                  <c:v>0.96976036205346061</c:v>
                </c:pt>
                <c:pt idx="4">
                  <c:v>0.95767406028505164</c:v>
                </c:pt>
                <c:pt idx="5">
                  <c:v>0.94188327061590227</c:v>
                </c:pt>
                <c:pt idx="6">
                  <c:v>0.92217771346480371</c:v>
                </c:pt>
                <c:pt idx="7">
                  <c:v>0.89827191809858919</c:v>
                </c:pt>
                <c:pt idx="8">
                  <c:v>0.86978080181775697</c:v>
                </c:pt>
                <c:pt idx="9">
                  <c:v>0.83618090559755665</c:v>
                </c:pt>
                <c:pt idx="10">
                  <c:v>0.79674629875918679</c:v>
                </c:pt>
                <c:pt idx="11">
                  <c:v>0.7504362150085151</c:v>
                </c:pt>
                <c:pt idx="12">
                  <c:v>0.6956814936924498</c:v>
                </c:pt>
                <c:pt idx="13">
                  <c:v>0.62992978663066435</c:v>
                </c:pt>
                <c:pt idx="14">
                  <c:v>0.54849712041439302</c:v>
                </c:pt>
                <c:pt idx="15">
                  <c:v>0.44069218849282749</c:v>
                </c:pt>
                <c:pt idx="16">
                  <c:v>0.2632546379179026</c:v>
                </c:pt>
                <c:pt idx="17">
                  <c:v>0.16785922017507912</c:v>
                </c:pt>
                <c:pt idx="18">
                  <c:v>8.7725513884859524E-2</c:v>
                </c:pt>
                <c:pt idx="19">
                  <c:v>8.7725513884859524E-2</c:v>
                </c:pt>
                <c:pt idx="20">
                  <c:v>8.7725513884859524E-2</c:v>
                </c:pt>
                <c:pt idx="21">
                  <c:v>8.7725513884859524E-2</c:v>
                </c:pt>
                <c:pt idx="22">
                  <c:v>8.7725513884859524E-2</c:v>
                </c:pt>
                <c:pt idx="23">
                  <c:v>8.7725513884859524E-2</c:v>
                </c:pt>
                <c:pt idx="24">
                  <c:v>8.7725513884859524E-2</c:v>
                </c:pt>
                <c:pt idx="25">
                  <c:v>8.7725513884859524E-2</c:v>
                </c:pt>
                <c:pt idx="26">
                  <c:v>8.7725513884859524E-2</c:v>
                </c:pt>
                <c:pt idx="27">
                  <c:v>8.7725513884859524E-2</c:v>
                </c:pt>
                <c:pt idx="28">
                  <c:v>8.7725513884859524E-2</c:v>
                </c:pt>
                <c:pt idx="29">
                  <c:v>8.7725513884859524E-2</c:v>
                </c:pt>
                <c:pt idx="30">
                  <c:v>8.7725513884859524E-2</c:v>
                </c:pt>
                <c:pt idx="31">
                  <c:v>8.7725513884859524E-2</c:v>
                </c:pt>
                <c:pt idx="32">
                  <c:v>8.7725513884859524E-2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0-4275-8E20-00CEB67E8BE4}"/>
            </c:ext>
          </c:extLst>
        </c:ser>
        <c:ser>
          <c:idx val="1"/>
          <c:order val="1"/>
          <c:tx>
            <c:v>0.92 Cap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'DIGSILENT CAPABILITY TABLES'!$F$5:$AL$5</c:f>
              <c:numCache>
                <c:formatCode>General</c:formatCode>
                <c:ptCount val="33"/>
                <c:pt idx="0">
                  <c:v>0.90797714258396411</c:v>
                </c:pt>
                <c:pt idx="1">
                  <c:v>0.90771735646884555</c:v>
                </c:pt>
                <c:pt idx="2">
                  <c:v>0.90693792856157984</c:v>
                </c:pt>
                <c:pt idx="3">
                  <c:v>0.90563865008326661</c:v>
                </c:pt>
                <c:pt idx="4">
                  <c:v>0.9038191727582352</c:v>
                </c:pt>
                <c:pt idx="5">
                  <c:v>0.90147900834675632</c:v>
                </c:pt>
                <c:pt idx="6">
                  <c:v>0.89861752798880334</c:v>
                </c:pt>
                <c:pt idx="7">
                  <c:v>0.89523396135678213</c:v>
                </c:pt>
                <c:pt idx="8">
                  <c:v>0.89132739561456831</c:v>
                </c:pt>
                <c:pt idx="9">
                  <c:v>0.86391786199587695</c:v>
                </c:pt>
                <c:pt idx="10">
                  <c:v>0.82576259109185723</c:v>
                </c:pt>
                <c:pt idx="11">
                  <c:v>0.78113873270950296</c:v>
                </c:pt>
                <c:pt idx="12">
                  <c:v>0.72868834333146626</c:v>
                </c:pt>
                <c:pt idx="13">
                  <c:v>0.66627216759616981</c:v>
                </c:pt>
                <c:pt idx="14">
                  <c:v>0.59016071604851961</c:v>
                </c:pt>
                <c:pt idx="15">
                  <c:v>0.49262939132422934</c:v>
                </c:pt>
                <c:pt idx="16">
                  <c:v>0.35050213470872221</c:v>
                </c:pt>
                <c:pt idx="17">
                  <c:v>0.29808038657375197</c:v>
                </c:pt>
                <c:pt idx="18">
                  <c:v>0.2252304300256229</c:v>
                </c:pt>
                <c:pt idx="19">
                  <c:v>9.1667746854500132E-2</c:v>
                </c:pt>
                <c:pt idx="20">
                  <c:v>9.1667746854500132E-2</c:v>
                </c:pt>
                <c:pt idx="21">
                  <c:v>9.1667746854500132E-2</c:v>
                </c:pt>
                <c:pt idx="22">
                  <c:v>9.1667746854500132E-2</c:v>
                </c:pt>
                <c:pt idx="23">
                  <c:v>9.1667746854500132E-2</c:v>
                </c:pt>
                <c:pt idx="24">
                  <c:v>9.1667746854500132E-2</c:v>
                </c:pt>
                <c:pt idx="25">
                  <c:v>9.1667746854500132E-2</c:v>
                </c:pt>
                <c:pt idx="26">
                  <c:v>9.1667746854500132E-2</c:v>
                </c:pt>
                <c:pt idx="27">
                  <c:v>9.1667746854500132E-2</c:v>
                </c:pt>
                <c:pt idx="28">
                  <c:v>9.1667746854500132E-2</c:v>
                </c:pt>
                <c:pt idx="29">
                  <c:v>9.1667746854500132E-2</c:v>
                </c:pt>
                <c:pt idx="30">
                  <c:v>9.1667746854500132E-2</c:v>
                </c:pt>
                <c:pt idx="31">
                  <c:v>9.1667746854500132E-2</c:v>
                </c:pt>
                <c:pt idx="32">
                  <c:v>9.1667746854500132E-2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00-4275-8E20-00CEB67E8BE4}"/>
            </c:ext>
          </c:extLst>
        </c:ser>
        <c:ser>
          <c:idx val="2"/>
          <c:order val="2"/>
          <c:tx>
            <c:v>0.94 Cap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'DIGSILENT CAPABILITY TABLES'!$F$6:$AL$6</c:f>
              <c:numCache>
                <c:formatCode>General</c:formatCode>
                <c:ptCount val="33"/>
                <c:pt idx="0">
                  <c:v>0.81856183224191803</c:v>
                </c:pt>
                <c:pt idx="1">
                  <c:v>0.81830757372977547</c:v>
                </c:pt>
                <c:pt idx="2">
                  <c:v>0.81754473297837071</c:v>
                </c:pt>
                <c:pt idx="3">
                  <c:v>0.81627311425910742</c:v>
                </c:pt>
                <c:pt idx="4">
                  <c:v>0.81449239107852944</c:v>
                </c:pt>
                <c:pt idx="5">
                  <c:v>0.81220210575874685</c:v>
                </c:pt>
                <c:pt idx="6">
                  <c:v>0.80940166884827269</c:v>
                </c:pt>
                <c:pt idx="7">
                  <c:v>0.80609035836149079</c:v>
                </c:pt>
                <c:pt idx="8">
                  <c:v>0.80226731884447267</c:v>
                </c:pt>
                <c:pt idx="9">
                  <c:v>0.7979315602642969</c:v>
                </c:pt>
                <c:pt idx="10">
                  <c:v>0.79308195671849246</c:v>
                </c:pt>
                <c:pt idx="11">
                  <c:v>0.78771724496066409</c:v>
                </c:pt>
                <c:pt idx="12">
                  <c:v>0.7611102357019025</c:v>
                </c:pt>
                <c:pt idx="13">
                  <c:v>0.70162588954143712</c:v>
                </c:pt>
                <c:pt idx="14">
                  <c:v>0.62999548707396114</c:v>
                </c:pt>
                <c:pt idx="15">
                  <c:v>0.54038783752410435</c:v>
                </c:pt>
                <c:pt idx="16">
                  <c:v>0.41814859840773333</c:v>
                </c:pt>
                <c:pt idx="17">
                  <c:v>0.37780690994512989</c:v>
                </c:pt>
                <c:pt idx="18">
                  <c:v>0.3298312564200877</c:v>
                </c:pt>
                <c:pt idx="19">
                  <c:v>0.26795722253604454</c:v>
                </c:pt>
                <c:pt idx="20">
                  <c:v>0.16011926499784759</c:v>
                </c:pt>
                <c:pt idx="21">
                  <c:v>9.569662230698997E-2</c:v>
                </c:pt>
                <c:pt idx="22">
                  <c:v>9.569662230698997E-2</c:v>
                </c:pt>
                <c:pt idx="23">
                  <c:v>9.569662230698997E-2</c:v>
                </c:pt>
                <c:pt idx="24">
                  <c:v>9.569662230698997E-2</c:v>
                </c:pt>
                <c:pt idx="25">
                  <c:v>9.569662230698997E-2</c:v>
                </c:pt>
                <c:pt idx="26">
                  <c:v>9.569662230698997E-2</c:v>
                </c:pt>
                <c:pt idx="27">
                  <c:v>9.569662230698997E-2</c:v>
                </c:pt>
                <c:pt idx="28">
                  <c:v>9.569662230698997E-2</c:v>
                </c:pt>
                <c:pt idx="29">
                  <c:v>9.569662230698997E-2</c:v>
                </c:pt>
                <c:pt idx="30">
                  <c:v>9.569662230698997E-2</c:v>
                </c:pt>
                <c:pt idx="31">
                  <c:v>9.569662230698997E-2</c:v>
                </c:pt>
                <c:pt idx="32">
                  <c:v>9.569662230698997E-2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00-4275-8E20-00CEB67E8BE4}"/>
            </c:ext>
          </c:extLst>
        </c:ser>
        <c:ser>
          <c:idx val="3"/>
          <c:order val="3"/>
          <c:tx>
            <c:v>0.96 Cap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'DIGSILENT CAPABILITY TABLES'!$F$7:$AL$7</c:f>
              <c:numCache>
                <c:formatCode>General</c:formatCode>
                <c:ptCount val="33"/>
                <c:pt idx="0">
                  <c:v>0.7245016732242765</c:v>
                </c:pt>
                <c:pt idx="1">
                  <c:v>0.72425271198385555</c:v>
                </c:pt>
                <c:pt idx="2">
                  <c:v>0.72350576703976532</c:v>
                </c:pt>
                <c:pt idx="3">
                  <c:v>0.72226065464822153</c:v>
                </c:pt>
                <c:pt idx="4">
                  <c:v>0.7205170683183606</c:v>
                </c:pt>
                <c:pt idx="5">
                  <c:v>0.71827457843464715</c:v>
                </c:pt>
                <c:pt idx="6">
                  <c:v>0.71553263172672343</c:v>
                </c:pt>
                <c:pt idx="7">
                  <c:v>0.71229055058517166</c:v>
                </c:pt>
                <c:pt idx="8">
                  <c:v>0.70854753222121347</c:v>
                </c:pt>
                <c:pt idx="9">
                  <c:v>0.7043026476679014</c:v>
                </c:pt>
                <c:pt idx="10">
                  <c:v>0.69955484061988693</c:v>
                </c:pt>
                <c:pt idx="11">
                  <c:v>0.69430292610836886</c:v>
                </c:pt>
                <c:pt idx="12">
                  <c:v>0.68854558900730267</c:v>
                </c:pt>
                <c:pt idx="13">
                  <c:v>0.68228138236643998</c:v>
                </c:pt>
                <c:pt idx="14">
                  <c:v>0.66836344228113409</c:v>
                </c:pt>
                <c:pt idx="15">
                  <c:v>0.58512192074342351</c:v>
                </c:pt>
                <c:pt idx="16">
                  <c:v>0.47630992649082832</c:v>
                </c:pt>
                <c:pt idx="17">
                  <c:v>0.44239281767469751</c:v>
                </c:pt>
                <c:pt idx="18">
                  <c:v>0.40410530981736337</c:v>
                </c:pt>
                <c:pt idx="19">
                  <c:v>0.35952163284901167</c:v>
                </c:pt>
                <c:pt idx="20">
                  <c:v>0.30456951629999474</c:v>
                </c:pt>
                <c:pt idx="21">
                  <c:v>0.22639816060010937</c:v>
                </c:pt>
                <c:pt idx="22">
                  <c:v>9.9812140242329039E-2</c:v>
                </c:pt>
                <c:pt idx="23">
                  <c:v>9.9812140242329039E-2</c:v>
                </c:pt>
                <c:pt idx="24">
                  <c:v>9.9812140242329039E-2</c:v>
                </c:pt>
                <c:pt idx="25">
                  <c:v>9.9812140242329039E-2</c:v>
                </c:pt>
                <c:pt idx="26">
                  <c:v>9.9812140242329039E-2</c:v>
                </c:pt>
                <c:pt idx="27">
                  <c:v>9.9812140242329039E-2</c:v>
                </c:pt>
                <c:pt idx="28">
                  <c:v>9.9812140242329039E-2</c:v>
                </c:pt>
                <c:pt idx="29">
                  <c:v>9.9812140242329039E-2</c:v>
                </c:pt>
                <c:pt idx="30">
                  <c:v>9.9812140242329039E-2</c:v>
                </c:pt>
                <c:pt idx="31">
                  <c:v>9.9812140242329039E-2</c:v>
                </c:pt>
                <c:pt idx="32">
                  <c:v>9.9812140242329039E-2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00-4275-8E20-00CEB67E8BE4}"/>
            </c:ext>
          </c:extLst>
        </c:ser>
        <c:ser>
          <c:idx val="4"/>
          <c:order val="4"/>
          <c:tx>
            <c:v>0.98 Cap</c:v>
          </c:tx>
          <c:marker>
            <c:symbol val="none"/>
          </c:marker>
          <c:xVal>
            <c:numRef>
              <c:f>'DIGSILENT CAPABILITY TABLES'!$F$8:$AL$8</c:f>
              <c:numCache>
                <c:formatCode>General</c:formatCode>
                <c:ptCount val="33"/>
                <c:pt idx="0">
                  <c:v>0.62579666553103963</c:v>
                </c:pt>
                <c:pt idx="1">
                  <c:v>0.62555278533414416</c:v>
                </c:pt>
                <c:pt idx="2">
                  <c:v>0.62482108719346707</c:v>
                </c:pt>
                <c:pt idx="3">
                  <c:v>0.62360139839111273</c:v>
                </c:pt>
                <c:pt idx="4">
                  <c:v>0.62189343083732285</c:v>
                </c:pt>
                <c:pt idx="5">
                  <c:v>0.61969678072992074</c:v>
                </c:pt>
                <c:pt idx="6">
                  <c:v>0.61701092807622115</c:v>
                </c:pt>
                <c:pt idx="7">
                  <c:v>0.61383523607607793</c:v>
                </c:pt>
                <c:pt idx="8">
                  <c:v>0.61016895036435859</c:v>
                </c:pt>
                <c:pt idx="9">
                  <c:v>0.60601119811073922</c:v>
                </c:pt>
                <c:pt idx="10">
                  <c:v>0.60136098697429397</c:v>
                </c:pt>
                <c:pt idx="11">
                  <c:v>0.59621720390994815</c:v>
                </c:pt>
                <c:pt idx="12">
                  <c:v>0.59057861382340526</c:v>
                </c:pt>
                <c:pt idx="13">
                  <c:v>0.58444385807073773</c:v>
                </c:pt>
                <c:pt idx="14">
                  <c:v>0.57781145279831869</c:v>
                </c:pt>
                <c:pt idx="15">
                  <c:v>0.57067978711830736</c:v>
                </c:pt>
                <c:pt idx="16">
                  <c:v>0.52865668998606452</c:v>
                </c:pt>
                <c:pt idx="17">
                  <c:v>0.49889668354447086</c:v>
                </c:pt>
                <c:pt idx="18">
                  <c:v>0.46618126327874032</c:v>
                </c:pt>
                <c:pt idx="19">
                  <c:v>0.42962080598881897</c:v>
                </c:pt>
                <c:pt idx="20">
                  <c:v>0.38773275055778622</c:v>
                </c:pt>
                <c:pt idx="21">
                  <c:v>0.33766916646071665</c:v>
                </c:pt>
                <c:pt idx="22">
                  <c:v>0.27228464508314326</c:v>
                </c:pt>
                <c:pt idx="23">
                  <c:v>0.14472174853076442</c:v>
                </c:pt>
                <c:pt idx="24">
                  <c:v>0.10401430066051739</c:v>
                </c:pt>
                <c:pt idx="25">
                  <c:v>0.10401430066051739</c:v>
                </c:pt>
                <c:pt idx="26">
                  <c:v>0.10401430066051739</c:v>
                </c:pt>
                <c:pt idx="27">
                  <c:v>0.10401430066051739</c:v>
                </c:pt>
                <c:pt idx="28">
                  <c:v>0.10401430066051739</c:v>
                </c:pt>
                <c:pt idx="29">
                  <c:v>0.10401430066051739</c:v>
                </c:pt>
                <c:pt idx="30">
                  <c:v>0.10401430066051739</c:v>
                </c:pt>
                <c:pt idx="31">
                  <c:v>0.10401430066051739</c:v>
                </c:pt>
                <c:pt idx="32">
                  <c:v>0.10401430066051739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00-4275-8E20-00CEB67E8BE4}"/>
            </c:ext>
          </c:extLst>
        </c:ser>
        <c:ser>
          <c:idx val="5"/>
          <c:order val="5"/>
          <c:tx>
            <c:v>1 Cap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'DIGSILENT CAPABILITY TABLES'!$F$9:$AL$9</c:f>
              <c:numCache>
                <c:formatCode>General</c:formatCode>
                <c:ptCount val="33"/>
                <c:pt idx="0">
                  <c:v>0.52244680916220754</c:v>
                </c:pt>
                <c:pt idx="1">
                  <c:v>0.52220780675534539</c:v>
                </c:pt>
                <c:pt idx="2">
                  <c:v>0.52149074536958673</c:v>
                </c:pt>
                <c:pt idx="3">
                  <c:v>0.52029546244802938</c:v>
                </c:pt>
                <c:pt idx="4">
                  <c:v>0.51862168685768761</c:v>
                </c:pt>
                <c:pt idx="5">
                  <c:v>0.51646903858169846</c:v>
                </c:pt>
                <c:pt idx="6">
                  <c:v>0.51383702828726696</c:v>
                </c:pt>
                <c:pt idx="7">
                  <c:v>0.51072505676822355</c:v>
                </c:pt>
                <c:pt idx="8">
                  <c:v>0.50713241426065292</c:v>
                </c:pt>
                <c:pt idx="9">
                  <c:v>0.50305827962984118</c:v>
                </c:pt>
                <c:pt idx="10">
                  <c:v>0.49850171942629101</c:v>
                </c:pt>
                <c:pt idx="11">
                  <c:v>0.49346168680828789</c:v>
                </c:pt>
                <c:pt idx="12">
                  <c:v>0.48793702032810216</c:v>
                </c:pt>
                <c:pt idx="13">
                  <c:v>0.48192644257848299</c:v>
                </c:pt>
                <c:pt idx="14">
                  <c:v>0.47542855869575401</c:v>
                </c:pt>
                <c:pt idx="15">
                  <c:v>0.4684418547153294</c:v>
                </c:pt>
                <c:pt idx="16">
                  <c:v>0.46096469577509641</c:v>
                </c:pt>
                <c:pt idx="17">
                  <c:v>0.45901856919942624</c:v>
                </c:pt>
                <c:pt idx="18">
                  <c:v>0.45704165126520269</c:v>
                </c:pt>
                <c:pt idx="19">
                  <c:v>0.45503391280564948</c:v>
                </c:pt>
                <c:pt idx="20">
                  <c:v>0.4529953241615543</c:v>
                </c:pt>
                <c:pt idx="21">
                  <c:v>0.41483277859733303</c:v>
                </c:pt>
                <c:pt idx="22">
                  <c:v>0.36845835370565577</c:v>
                </c:pt>
                <c:pt idx="23">
                  <c:v>0.31084431338696178</c:v>
                </c:pt>
                <c:pt idx="24">
                  <c:v>0.22656976909981871</c:v>
                </c:pt>
                <c:pt idx="25">
                  <c:v>0.10830310356155498</c:v>
                </c:pt>
                <c:pt idx="26">
                  <c:v>0.10830310356155498</c:v>
                </c:pt>
                <c:pt idx="27">
                  <c:v>0.10830310356155498</c:v>
                </c:pt>
                <c:pt idx="28">
                  <c:v>0.10830310356155498</c:v>
                </c:pt>
                <c:pt idx="29">
                  <c:v>0.10830310356155498</c:v>
                </c:pt>
                <c:pt idx="30">
                  <c:v>0.10830310356155498</c:v>
                </c:pt>
                <c:pt idx="31">
                  <c:v>0.10830310356155498</c:v>
                </c:pt>
                <c:pt idx="32">
                  <c:v>0.10830310356155498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00-4275-8E20-00CEB67E8BE4}"/>
            </c:ext>
          </c:extLst>
        </c:ser>
        <c:ser>
          <c:idx val="6"/>
          <c:order val="6"/>
          <c:tx>
            <c:v>1.02 Cap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'DIGSILENT CAPABILITY TABLES'!$F$10:$AL$10</c:f>
              <c:numCache>
                <c:formatCode>General</c:formatCode>
                <c:ptCount val="33"/>
                <c:pt idx="0">
                  <c:v>0.41445210411778277</c:v>
                </c:pt>
                <c:pt idx="1">
                  <c:v>0.41421778820444183</c:v>
                </c:pt>
                <c:pt idx="2">
                  <c:v>0.41351478942374365</c:v>
                </c:pt>
                <c:pt idx="3">
                  <c:v>0.41234295459805786</c:v>
                </c:pt>
                <c:pt idx="4">
                  <c:v>0.41070202824584118</c:v>
                </c:pt>
                <c:pt idx="5">
                  <c:v>0.40859165230288702</c:v>
                </c:pt>
                <c:pt idx="6">
                  <c:v>0.40601136573110336</c:v>
                </c:pt>
                <c:pt idx="7">
                  <c:v>0.40296060401378903</c:v>
                </c:pt>
                <c:pt idx="8">
                  <c:v>0.39943869853612551</c:v>
                </c:pt>
                <c:pt idx="9">
                  <c:v>0.39544487584931398</c:v>
                </c:pt>
                <c:pt idx="10">
                  <c:v>0.39097825681642112</c:v>
                </c:pt>
                <c:pt idx="11">
                  <c:v>0.38603785563775012</c:v>
                </c:pt>
                <c:pt idx="12">
                  <c:v>0.38062257875318362</c:v>
                </c:pt>
                <c:pt idx="13">
                  <c:v>0.37473122361862971</c:v>
                </c:pt>
                <c:pt idx="14">
                  <c:v>0.36836247735332944</c:v>
                </c:pt>
                <c:pt idx="15">
                  <c:v>0.36151491525444135</c:v>
                </c:pt>
                <c:pt idx="16">
                  <c:v>0.35418699917491636</c:v>
                </c:pt>
                <c:pt idx="17">
                  <c:v>0.35227977365114366</c:v>
                </c:pt>
                <c:pt idx="18">
                  <c:v>0.35034239627061586</c:v>
                </c:pt>
                <c:pt idx="19">
                  <c:v>0.34837483960391658</c:v>
                </c:pt>
                <c:pt idx="20">
                  <c:v>0.34637707576028326</c:v>
                </c:pt>
                <c:pt idx="21">
                  <c:v>0.34434907638558571</c:v>
                </c:pt>
                <c:pt idx="22">
                  <c:v>0.34229081266025196</c:v>
                </c:pt>
                <c:pt idx="23">
                  <c:v>0.3402022552971663</c:v>
                </c:pt>
                <c:pt idx="24">
                  <c:v>0.33808337453952514</c:v>
                </c:pt>
                <c:pt idx="25">
                  <c:v>0.27618407376436666</c:v>
                </c:pt>
                <c:pt idx="26">
                  <c:v>0.11267854894544181</c:v>
                </c:pt>
                <c:pt idx="27">
                  <c:v>0.11267854894544181</c:v>
                </c:pt>
                <c:pt idx="28">
                  <c:v>0.11267854894544181</c:v>
                </c:pt>
                <c:pt idx="29">
                  <c:v>0.11267854894544181</c:v>
                </c:pt>
                <c:pt idx="30">
                  <c:v>0.11267854894544181</c:v>
                </c:pt>
                <c:pt idx="31">
                  <c:v>0.11267854894544181</c:v>
                </c:pt>
                <c:pt idx="32">
                  <c:v>0.11267854894544181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200-4275-8E20-00CEB67E8BE4}"/>
            </c:ext>
          </c:extLst>
        </c:ser>
        <c:ser>
          <c:idx val="7"/>
          <c:order val="7"/>
          <c:tx>
            <c:v>1.04 Cap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'DIGSILENT CAPABILITY TABLES'!$F$11:$AL$11</c:f>
              <c:numCache>
                <c:formatCode>General</c:formatCode>
                <c:ptCount val="33"/>
                <c:pt idx="0">
                  <c:v>0.30181255039776056</c:v>
                </c:pt>
                <c:pt idx="1">
                  <c:v>0.30158274071856067</c:v>
                </c:pt>
                <c:pt idx="2">
                  <c:v>0.30089326352901125</c:v>
                </c:pt>
                <c:pt idx="3">
                  <c:v>0.29974397432279526</c:v>
                </c:pt>
                <c:pt idx="4">
                  <c:v>0.29813463208772678</c:v>
                </c:pt>
                <c:pt idx="5">
                  <c:v>0.29606489905283367</c:v>
                </c:pt>
                <c:pt idx="6">
                  <c:v>0.29353434033339609</c:v>
                </c:pt>
                <c:pt idx="7">
                  <c:v>0.29054242347309239</c:v>
                </c:pt>
                <c:pt idx="8">
                  <c:v>0.28708851788209927</c:v>
                </c:pt>
                <c:pt idx="9">
                  <c:v>0.28317189416977245</c:v>
                </c:pt>
                <c:pt idx="10">
                  <c:v>0.27879172337025815</c:v>
                </c:pt>
                <c:pt idx="11">
                  <c:v>0.27394707605908497</c:v>
                </c:pt>
                <c:pt idx="12">
                  <c:v>0.26863692135854922</c:v>
                </c:pt>
                <c:pt idx="13">
                  <c:v>0.26286012582937096</c:v>
                </c:pt>
                <c:pt idx="14">
                  <c:v>0.25661545224582211</c:v>
                </c:pt>
                <c:pt idx="15">
                  <c:v>0.2499015582511826</c:v>
                </c:pt>
                <c:pt idx="16">
                  <c:v>0.24271699489009749</c:v>
                </c:pt>
                <c:pt idx="17">
                  <c:v>0.24084713188435181</c:v>
                </c:pt>
                <c:pt idx="18">
                  <c:v>0.23894772986077489</c:v>
                </c:pt>
                <c:pt idx="19">
                  <c:v>0.23701876299104585</c:v>
                </c:pt>
                <c:pt idx="20">
                  <c:v>0.23506020501398597</c:v>
                </c:pt>
                <c:pt idx="21">
                  <c:v>0.23307202923373241</c:v>
                </c:pt>
                <c:pt idx="22">
                  <c:v>0.23105420851786451</c:v>
                </c:pt>
                <c:pt idx="23">
                  <c:v>0.22900671529550071</c:v>
                </c:pt>
                <c:pt idx="24">
                  <c:v>0.22692952155537235</c:v>
                </c:pt>
                <c:pt idx="25">
                  <c:v>0.22482259884383743</c:v>
                </c:pt>
                <c:pt idx="26">
                  <c:v>0.22268591826288608</c:v>
                </c:pt>
                <c:pt idx="27">
                  <c:v>0.22543625638391684</c:v>
                </c:pt>
                <c:pt idx="28">
                  <c:v>0.1171406368121779</c:v>
                </c:pt>
                <c:pt idx="29">
                  <c:v>0.1171406368121779</c:v>
                </c:pt>
                <c:pt idx="30">
                  <c:v>0.1171406368121779</c:v>
                </c:pt>
                <c:pt idx="31">
                  <c:v>0.1171406368121779</c:v>
                </c:pt>
                <c:pt idx="32">
                  <c:v>0.1171406368121779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200-4275-8E20-00CEB67E8BE4}"/>
            </c:ext>
          </c:extLst>
        </c:ser>
        <c:ser>
          <c:idx val="8"/>
          <c:order val="8"/>
          <c:tx>
            <c:v>1.06 Cap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'DIGSILENT CAPABILITY TABLES'!$F$12:$AL$12</c:f>
              <c:numCache>
                <c:formatCode>General</c:formatCode>
                <c:ptCount val="33"/>
                <c:pt idx="0">
                  <c:v>0.18452814800214368</c:v>
                </c:pt>
                <c:pt idx="1">
                  <c:v>0.18430267450177529</c:v>
                </c:pt>
                <c:pt idx="2">
                  <c:v>0.1836262085234921</c:v>
                </c:pt>
                <c:pt idx="3">
                  <c:v>0.18249861358989325</c:v>
                </c:pt>
                <c:pt idx="4">
                  <c:v>0.18091966208561633</c:v>
                </c:pt>
                <c:pt idx="5">
                  <c:v>0.17888903502742351</c:v>
                </c:pt>
                <c:pt idx="6">
                  <c:v>0.17640632174155538</c:v>
                </c:pt>
                <c:pt idx="7">
                  <c:v>0.17347101944760773</c:v>
                </c:pt>
                <c:pt idx="8">
                  <c:v>0.17008253274791627</c:v>
                </c:pt>
                <c:pt idx="9">
                  <c:v>0.16624017302127925</c:v>
                </c:pt>
                <c:pt idx="10">
                  <c:v>0.16194315771951687</c:v>
                </c:pt>
                <c:pt idx="11">
                  <c:v>0.15719060956523559</c:v>
                </c:pt>
                <c:pt idx="12">
                  <c:v>0.15198155564882473</c:v>
                </c:pt>
                <c:pt idx="13">
                  <c:v>0.14631492642251959</c:v>
                </c:pt>
                <c:pt idx="14">
                  <c:v>0.14018955458908128</c:v>
                </c:pt>
                <c:pt idx="15">
                  <c:v>0.13360417388233772</c:v>
                </c:pt>
                <c:pt idx="16">
                  <c:v>0.12655741773662546</c:v>
                </c:pt>
                <c:pt idx="17">
                  <c:v>0.12472346897767803</c:v>
                </c:pt>
                <c:pt idx="18">
                  <c:v>0.12286056904353389</c:v>
                </c:pt>
                <c:pt idx="19">
                  <c:v>0.12096869358389377</c:v>
                </c:pt>
                <c:pt idx="20">
                  <c:v>0.11904781784175776</c:v>
                </c:pt>
                <c:pt idx="21">
                  <c:v>0.11709791665176392</c:v>
                </c:pt>
                <c:pt idx="22">
                  <c:v>0.11511896443850471</c:v>
                </c:pt>
                <c:pt idx="23">
                  <c:v>0.11311093521479487</c:v>
                </c:pt>
                <c:pt idx="24">
                  <c:v>0.11107380257992817</c:v>
                </c:pt>
                <c:pt idx="25">
                  <c:v>0.10900753971788697</c:v>
                </c:pt>
                <c:pt idx="26">
                  <c:v>0.10691211939552958</c:v>
                </c:pt>
                <c:pt idx="27">
                  <c:v>0.10478751396074569</c:v>
                </c:pt>
                <c:pt idx="28">
                  <c:v>0.10263369534057018</c:v>
                </c:pt>
                <c:pt idx="29">
                  <c:v>0.10045063503927609</c:v>
                </c:pt>
                <c:pt idx="30">
                  <c:v>9.823830413642598E-2</c:v>
                </c:pt>
                <c:pt idx="31">
                  <c:v>9.5996673284895487E-2</c:v>
                </c:pt>
                <c:pt idx="32">
                  <c:v>9.3725712708859418E-2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200-4275-8E20-00CEB67E8BE4}"/>
            </c:ext>
          </c:extLst>
        </c:ser>
        <c:ser>
          <c:idx val="9"/>
          <c:order val="9"/>
          <c:tx>
            <c:v>1.08 Cap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'DIGSILENT CAPABILITY TABLES'!$F$13:$AL$13</c:f>
              <c:numCache>
                <c:formatCode>General</c:formatCode>
                <c:ptCount val="33"/>
                <c:pt idx="0">
                  <c:v>6.2598896930933554E-2</c:v>
                </c:pt>
                <c:pt idx="1">
                  <c:v>6.2377599002229431E-2</c:v>
                </c:pt>
                <c:pt idx="2">
                  <c:v>6.1713662219216939E-2</c:v>
                </c:pt>
                <c:pt idx="3">
                  <c:v>6.0606957549420248E-2</c:v>
                </c:pt>
                <c:pt idx="4">
                  <c:v>5.9057269799340839E-2</c:v>
                </c:pt>
                <c:pt idx="5">
                  <c:v>5.7064297405090468E-2</c:v>
                </c:pt>
                <c:pt idx="6">
                  <c:v>5.4627652138580896E-2</c:v>
                </c:pt>
                <c:pt idx="7">
                  <c:v>5.1746858728652624E-2</c:v>
                </c:pt>
                <c:pt idx="8">
                  <c:v>4.8421354396232338E-2</c:v>
                </c:pt>
                <c:pt idx="9">
                  <c:v>4.4650488302487683E-2</c:v>
                </c:pt>
                <c:pt idx="10">
                  <c:v>4.0433520908698332E-2</c:v>
                </c:pt>
                <c:pt idx="11">
                  <c:v>3.5769623246362466E-2</c:v>
                </c:pt>
                <c:pt idx="12">
                  <c:v>3.0657876095856455E-2</c:v>
                </c:pt>
                <c:pt idx="13">
                  <c:v>2.5097269071729648E-2</c:v>
                </c:pt>
                <c:pt idx="14">
                  <c:v>1.9086699612488468E-2</c:v>
                </c:pt>
                <c:pt idx="15">
                  <c:v>1.2624971872484006E-2</c:v>
                </c:pt>
                <c:pt idx="16">
                  <c:v>5.710795513279905E-3</c:v>
                </c:pt>
                <c:pt idx="17">
                  <c:v>3.9113960129594349E-3</c:v>
                </c:pt>
                <c:pt idx="18">
                  <c:v>2.0836097121271937E-3</c:v>
                </c:pt>
                <c:pt idx="19">
                  <c:v>2.274136271100919E-4</c:v>
                </c:pt>
                <c:pt idx="20">
                  <c:v>-1.6572156084057941E-3</c:v>
                </c:pt>
                <c:pt idx="21">
                  <c:v>-3.5703017448866841E-3</c:v>
                </c:pt>
                <c:pt idx="22">
                  <c:v>-5.5118689184764334E-3</c:v>
                </c:pt>
                <c:pt idx="23">
                  <c:v>-7.4819416525607335E-3</c:v>
                </c:pt>
                <c:pt idx="24">
                  <c:v>-9.4805448593590722E-3</c:v>
                </c:pt>
                <c:pt idx="25">
                  <c:v>-1.150770384154029E-2</c:v>
                </c:pt>
                <c:pt idx="26">
                  <c:v>-1.3563444293867279E-2</c:v>
                </c:pt>
                <c:pt idx="27">
                  <c:v>-1.5647792304870827E-2</c:v>
                </c:pt>
                <c:pt idx="28">
                  <c:v>-1.7760774358558183E-2</c:v>
                </c:pt>
                <c:pt idx="29">
                  <c:v>-1.9902417336138224E-2</c:v>
                </c:pt>
                <c:pt idx="30">
                  <c:v>-2.2072748517793891E-2</c:v>
                </c:pt>
                <c:pt idx="31">
                  <c:v>-2.4271795584465641E-2</c:v>
                </c:pt>
                <c:pt idx="32">
                  <c:v>-2.6499586619677995E-2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200-4275-8E20-00CEB67E8BE4}"/>
            </c:ext>
          </c:extLst>
        </c:ser>
        <c:ser>
          <c:idx val="10"/>
          <c:order val="10"/>
          <c:tx>
            <c:v>1.1 Cap</c:v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'DIGSILENT CAPABILITY TABLES'!$F$14:$AL$14</c:f>
              <c:numCache>
                <c:formatCode>General</c:formatCode>
                <c:ptCount val="33"/>
                <c:pt idx="0">
                  <c:v>-6.4192477019124158E-2</c:v>
                </c:pt>
                <c:pt idx="1">
                  <c:v>-6.4844340322637486E-2</c:v>
                </c:pt>
                <c:pt idx="2">
                  <c:v>-6.5930914845808458E-2</c:v>
                </c:pt>
                <c:pt idx="3">
                  <c:v>-6.7452404248103795E-2</c:v>
                </c:pt>
                <c:pt idx="4">
                  <c:v>-6.9409093920071274E-2</c:v>
                </c:pt>
                <c:pt idx="5">
                  <c:v>-7.1801351251327528E-2</c:v>
                </c:pt>
                <c:pt idx="6">
                  <c:v>-7.4629625976124395E-2</c:v>
                </c:pt>
                <c:pt idx="7">
                  <c:v>-7.7894450597258608E-2</c:v>
                </c:pt>
                <c:pt idx="8">
                  <c:v>-8.1596440889240729E-2</c:v>
                </c:pt>
                <c:pt idx="9">
                  <c:v>-8.5736296481850577E-2</c:v>
                </c:pt>
                <c:pt idx="10">
                  <c:v>-9.0314801525380739E-2</c:v>
                </c:pt>
                <c:pt idx="11">
                  <c:v>-9.5332825439041008E-2</c:v>
                </c:pt>
                <c:pt idx="12">
                  <c:v>-0.1007913237441974</c:v>
                </c:pt>
                <c:pt idx="13">
                  <c:v>-0.10669133898436131</c:v>
                </c:pt>
                <c:pt idx="14">
                  <c:v>-0.11303400173397997</c:v>
                </c:pt>
                <c:pt idx="15">
                  <c:v>-0.1198205316983406</c:v>
                </c:pt>
                <c:pt idx="16">
                  <c:v>-0.12158666995816035</c:v>
                </c:pt>
                <c:pt idx="17">
                  <c:v>-0.12338065270743817</c:v>
                </c:pt>
                <c:pt idx="18">
                  <c:v>-0.12520250166425562</c:v>
                </c:pt>
                <c:pt idx="19">
                  <c:v>-0.12705223890716427</c:v>
                </c:pt>
                <c:pt idx="20">
                  <c:v>-0.12892988687655552</c:v>
                </c:pt>
                <c:pt idx="21">
                  <c:v>-0.13083546837605547</c:v>
                </c:pt>
                <c:pt idx="22">
                  <c:v>-0.13276900657394222</c:v>
                </c:pt>
                <c:pt idx="23">
                  <c:v>-0.13473052500459173</c:v>
                </c:pt>
                <c:pt idx="24">
                  <c:v>-0.13672004756994102</c:v>
                </c:pt>
                <c:pt idx="25">
                  <c:v>-0.13873759854099249</c:v>
                </c:pt>
                <c:pt idx="26">
                  <c:v>-0.14078320255932694</c:v>
                </c:pt>
                <c:pt idx="27">
                  <c:v>-0.14285688463865506</c:v>
                </c:pt>
                <c:pt idx="28">
                  <c:v>-0.14495867016638739</c:v>
                </c:pt>
                <c:pt idx="29">
                  <c:v>-0.14708858490524007</c:v>
                </c:pt>
                <c:pt idx="30">
                  <c:v>-0.14924665499485731</c:v>
                </c:pt>
                <c:pt idx="31">
                  <c:v>-0.15143290695346312</c:v>
                </c:pt>
                <c:pt idx="32">
                  <c:v>0.13104675530948151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200-4275-8E20-00CEB67E8BE4}"/>
            </c:ext>
          </c:extLst>
        </c:ser>
        <c:ser>
          <c:idx val="11"/>
          <c:order val="11"/>
          <c:tx>
            <c:v>0.9 Ind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'DIGSILENT CAPABILITY TABLES'!$F$17:$AL$17</c:f>
              <c:numCache>
                <c:formatCode>General</c:formatCode>
                <c:ptCount val="33"/>
                <c:pt idx="0">
                  <c:v>-0.80960969292684626</c:v>
                </c:pt>
                <c:pt idx="1">
                  <c:v>-0.80792256063091072</c:v>
                </c:pt>
                <c:pt idx="2">
                  <c:v>-0.80284198686048369</c:v>
                </c:pt>
                <c:pt idx="3">
                  <c:v>-0.79430933428374151</c:v>
                </c:pt>
                <c:pt idx="4">
                  <c:v>-0.78222303251533254</c:v>
                </c:pt>
                <c:pt idx="5">
                  <c:v>-0.76643224284618316</c:v>
                </c:pt>
                <c:pt idx="6">
                  <c:v>-0.7467266856950846</c:v>
                </c:pt>
                <c:pt idx="7">
                  <c:v>-0.72282089032887031</c:v>
                </c:pt>
                <c:pt idx="8">
                  <c:v>-0.69432977404803786</c:v>
                </c:pt>
                <c:pt idx="9">
                  <c:v>-0.66072987782783776</c:v>
                </c:pt>
                <c:pt idx="10">
                  <c:v>-0.62129527098946791</c:v>
                </c:pt>
                <c:pt idx="11">
                  <c:v>-0.5749851872387961</c:v>
                </c:pt>
                <c:pt idx="12">
                  <c:v>-0.52023046592273081</c:v>
                </c:pt>
                <c:pt idx="13">
                  <c:v>-0.45447875886094552</c:v>
                </c:pt>
                <c:pt idx="14">
                  <c:v>-0.37304609264467403</c:v>
                </c:pt>
                <c:pt idx="15">
                  <c:v>-0.26524116072310877</c:v>
                </c:pt>
                <c:pt idx="16">
                  <c:v>-8.7803610148183553E-2</c:v>
                </c:pt>
                <c:pt idx="17">
                  <c:v>7.5918075946382439E-3</c:v>
                </c:pt>
                <c:pt idx="18">
                  <c:v>8.7725513884859524E-2</c:v>
                </c:pt>
                <c:pt idx="19">
                  <c:v>8.7725513884859524E-2</c:v>
                </c:pt>
                <c:pt idx="20">
                  <c:v>8.7725513884859524E-2</c:v>
                </c:pt>
                <c:pt idx="21">
                  <c:v>8.7725513884859524E-2</c:v>
                </c:pt>
                <c:pt idx="22">
                  <c:v>8.7725513884859524E-2</c:v>
                </c:pt>
                <c:pt idx="23">
                  <c:v>8.7725513884859524E-2</c:v>
                </c:pt>
                <c:pt idx="24">
                  <c:v>8.7725513884859524E-2</c:v>
                </c:pt>
                <c:pt idx="25">
                  <c:v>8.7725513884859524E-2</c:v>
                </c:pt>
                <c:pt idx="26">
                  <c:v>8.7725513884859524E-2</c:v>
                </c:pt>
                <c:pt idx="27">
                  <c:v>8.7725513884859524E-2</c:v>
                </c:pt>
                <c:pt idx="28">
                  <c:v>8.7725513884859524E-2</c:v>
                </c:pt>
                <c:pt idx="29">
                  <c:v>8.7725513884859524E-2</c:v>
                </c:pt>
                <c:pt idx="30">
                  <c:v>8.7725513884859524E-2</c:v>
                </c:pt>
                <c:pt idx="31">
                  <c:v>8.7725513884859524E-2</c:v>
                </c:pt>
                <c:pt idx="32">
                  <c:v>8.7725513884859524E-2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200-4275-8E20-00CEB67E8BE4}"/>
            </c:ext>
          </c:extLst>
        </c:ser>
        <c:ser>
          <c:idx val="12"/>
          <c:order val="12"/>
          <c:tx>
            <c:v>0.92 Ind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'DIGSILENT CAPABILITY TABLES'!$F$18:$AL$18</c:f>
              <c:numCache>
                <c:formatCode>General</c:formatCode>
                <c:ptCount val="33"/>
                <c:pt idx="0">
                  <c:v>-0.82560824233079921</c:v>
                </c:pt>
                <c:pt idx="1">
                  <c:v>-0.82395785367000984</c:v>
                </c:pt>
                <c:pt idx="2">
                  <c:v>-0.81898874180402226</c:v>
                </c:pt>
                <c:pt idx="3">
                  <c:v>-0.81064607900425811</c:v>
                </c:pt>
                <c:pt idx="4">
                  <c:v>-0.79883505512641984</c:v>
                </c:pt>
                <c:pt idx="5">
                  <c:v>-0.7834152436874654</c:v>
                </c:pt>
                <c:pt idx="6">
                  <c:v>-0.76419161094669241</c:v>
                </c:pt>
                <c:pt idx="7">
                  <c:v>-0.74090071299482041</c:v>
                </c:pt>
                <c:pt idx="8">
                  <c:v>-0.71318953262793694</c:v>
                </c:pt>
                <c:pt idx="9">
                  <c:v>-0.68058236828687657</c:v>
                </c:pt>
                <c:pt idx="10">
                  <c:v>-0.64242709738285697</c:v>
                </c:pt>
                <c:pt idx="11">
                  <c:v>-0.59780323900050281</c:v>
                </c:pt>
                <c:pt idx="12">
                  <c:v>-0.545352849622466</c:v>
                </c:pt>
                <c:pt idx="13">
                  <c:v>-0.48293667388716965</c:v>
                </c:pt>
                <c:pt idx="14">
                  <c:v>-0.40682522233951951</c:v>
                </c:pt>
                <c:pt idx="15">
                  <c:v>-0.30929389761522952</c:v>
                </c:pt>
                <c:pt idx="16">
                  <c:v>-0.167166640999722</c:v>
                </c:pt>
                <c:pt idx="17">
                  <c:v>-0.11474489286475235</c:v>
                </c:pt>
                <c:pt idx="18">
                  <c:v>-4.18949363166237E-2</c:v>
                </c:pt>
                <c:pt idx="19">
                  <c:v>9.1667746854500132E-2</c:v>
                </c:pt>
                <c:pt idx="20">
                  <c:v>9.1667746854500132E-2</c:v>
                </c:pt>
                <c:pt idx="21">
                  <c:v>9.1667746854500132E-2</c:v>
                </c:pt>
                <c:pt idx="22">
                  <c:v>9.1667746854500132E-2</c:v>
                </c:pt>
                <c:pt idx="23">
                  <c:v>9.1667746854500132E-2</c:v>
                </c:pt>
                <c:pt idx="24">
                  <c:v>9.1667746854500132E-2</c:v>
                </c:pt>
                <c:pt idx="25">
                  <c:v>9.1667746854500132E-2</c:v>
                </c:pt>
                <c:pt idx="26">
                  <c:v>9.1667746854500132E-2</c:v>
                </c:pt>
                <c:pt idx="27">
                  <c:v>9.1667746854500132E-2</c:v>
                </c:pt>
                <c:pt idx="28">
                  <c:v>9.1667746854500132E-2</c:v>
                </c:pt>
                <c:pt idx="29">
                  <c:v>9.1667746854500132E-2</c:v>
                </c:pt>
                <c:pt idx="30">
                  <c:v>9.1667746854500132E-2</c:v>
                </c:pt>
                <c:pt idx="31">
                  <c:v>9.1667746854500132E-2</c:v>
                </c:pt>
                <c:pt idx="32">
                  <c:v>9.1667746854500132E-2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200-4275-8E20-00CEB67E8BE4}"/>
            </c:ext>
          </c:extLst>
        </c:ser>
        <c:ser>
          <c:idx val="13"/>
          <c:order val="13"/>
          <c:tx>
            <c:v>0.94 Ind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'DIGSILENT CAPABILITY TABLES'!$F$19:$AL$19</c:f>
              <c:numCache>
                <c:formatCode>General</c:formatCode>
                <c:ptCount val="33"/>
                <c:pt idx="0">
                  <c:v>-0.84152014925190288</c:v>
                </c:pt>
                <c:pt idx="1">
                  <c:v>-0.8399049365262955</c:v>
                </c:pt>
                <c:pt idx="2">
                  <c:v>-0.83504248017623217</c:v>
                </c:pt>
                <c:pt idx="3">
                  <c:v>-0.82688143774607348</c:v>
                </c:pt>
                <c:pt idx="4">
                  <c:v>-0.81533316693772728</c:v>
                </c:pt>
                <c:pt idx="5">
                  <c:v>-0.80026670110043263</c:v>
                </c:pt>
                <c:pt idx="6">
                  <c:v>-0.78150077673798779</c:v>
                </c:pt>
                <c:pt idx="7">
                  <c:v>-0.75879169059803386</c:v>
                </c:pt>
                <c:pt idx="8">
                  <c:v>-0.73181487422419034</c:v>
                </c:pt>
                <c:pt idx="9">
                  <c:v>-0.70013644868922964</c:v>
                </c:pt>
                <c:pt idx="10">
                  <c:v>-0.66316784312229493</c:v>
                </c:pt>
                <c:pt idx="11">
                  <c:v>-0.62008985206317724</c:v>
                </c:pt>
                <c:pt idx="12">
                  <c:v>-0.56971699108792262</c:v>
                </c:pt>
                <c:pt idx="13">
                  <c:v>-0.51023264492745735</c:v>
                </c:pt>
                <c:pt idx="14">
                  <c:v>-0.4386022424599812</c:v>
                </c:pt>
                <c:pt idx="15">
                  <c:v>-0.3489945929101248</c:v>
                </c:pt>
                <c:pt idx="16">
                  <c:v>-0.22675535379375339</c:v>
                </c:pt>
                <c:pt idx="17">
                  <c:v>-0.18641366533115053</c:v>
                </c:pt>
                <c:pt idx="18">
                  <c:v>-0.13843801180610832</c:v>
                </c:pt>
                <c:pt idx="19">
                  <c:v>-7.6563977922064583E-2</c:v>
                </c:pt>
                <c:pt idx="20">
                  <c:v>3.1273979616130272E-2</c:v>
                </c:pt>
                <c:pt idx="21">
                  <c:v>9.569662230698997E-2</c:v>
                </c:pt>
                <c:pt idx="22">
                  <c:v>9.569662230698997E-2</c:v>
                </c:pt>
                <c:pt idx="23">
                  <c:v>9.569662230698997E-2</c:v>
                </c:pt>
                <c:pt idx="24">
                  <c:v>9.569662230698997E-2</c:v>
                </c:pt>
                <c:pt idx="25">
                  <c:v>9.569662230698997E-2</c:v>
                </c:pt>
                <c:pt idx="26">
                  <c:v>9.569662230698997E-2</c:v>
                </c:pt>
                <c:pt idx="27">
                  <c:v>9.569662230698997E-2</c:v>
                </c:pt>
                <c:pt idx="28">
                  <c:v>9.569662230698997E-2</c:v>
                </c:pt>
                <c:pt idx="29">
                  <c:v>9.569662230698997E-2</c:v>
                </c:pt>
                <c:pt idx="30">
                  <c:v>9.569662230698997E-2</c:v>
                </c:pt>
                <c:pt idx="31">
                  <c:v>9.569662230698997E-2</c:v>
                </c:pt>
                <c:pt idx="32">
                  <c:v>9.569662230698997E-2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200-4275-8E20-00CEB67E8BE4}"/>
            </c:ext>
          </c:extLst>
        </c:ser>
        <c:ser>
          <c:idx val="14"/>
          <c:order val="14"/>
          <c:tx>
            <c:v>0.96 Ind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'DIGSILENT CAPABILITY TABLES'!$F$20:$AL$20</c:f>
              <c:numCache>
                <c:formatCode>General</c:formatCode>
                <c:ptCount val="33"/>
                <c:pt idx="0">
                  <c:v>-0.85734541369015715</c:v>
                </c:pt>
                <c:pt idx="1">
                  <c:v>-0.85576390751630982</c:v>
                </c:pt>
                <c:pt idx="2">
                  <c:v>-0.85100360586730506</c:v>
                </c:pt>
                <c:pt idx="3">
                  <c:v>-0.84301636115653111</c:v>
                </c:pt>
                <c:pt idx="4">
                  <c:v>-0.83171917058410805</c:v>
                </c:pt>
                <c:pt idx="5">
                  <c:v>-0.81698968297249219</c:v>
                </c:pt>
                <c:pt idx="6">
                  <c:v>-0.79865910751689673</c:v>
                </c:pt>
                <c:pt idx="7">
                  <c:v>-0.77650149256844747</c:v>
                </c:pt>
                <c:pt idx="8">
                  <c:v>-0.75021761397220454</c:v>
                </c:pt>
                <c:pt idx="9">
                  <c:v>-0.719410407695666</c:v>
                </c:pt>
                <c:pt idx="10">
                  <c:v>-0.68354638754046126</c:v>
                </c:pt>
                <c:pt idx="11">
                  <c:v>-0.64189237170971536</c:v>
                </c:pt>
                <c:pt idx="12">
                  <c:v>-0.59340541799607904</c:v>
                </c:pt>
                <c:pt idx="13">
                  <c:v>-0.53652549266179261</c:v>
                </c:pt>
                <c:pt idx="14">
                  <c:v>-0.46873916179647618</c:v>
                </c:pt>
                <c:pt idx="15">
                  <c:v>-0.38549764025876559</c:v>
                </c:pt>
                <c:pt idx="16">
                  <c:v>-0.27668564600617029</c:v>
                </c:pt>
                <c:pt idx="17">
                  <c:v>-0.24276853719003982</c:v>
                </c:pt>
                <c:pt idx="18">
                  <c:v>-0.20448102933270562</c:v>
                </c:pt>
                <c:pt idx="19">
                  <c:v>-0.1598973523643536</c:v>
                </c:pt>
                <c:pt idx="20">
                  <c:v>-0.10494523581533724</c:v>
                </c:pt>
                <c:pt idx="21">
                  <c:v>-2.6773880115452342E-2</c:v>
                </c:pt>
                <c:pt idx="22">
                  <c:v>9.9812140242329039E-2</c:v>
                </c:pt>
                <c:pt idx="23">
                  <c:v>9.9812140242329039E-2</c:v>
                </c:pt>
                <c:pt idx="24">
                  <c:v>9.9812140242329039E-2</c:v>
                </c:pt>
                <c:pt idx="25">
                  <c:v>9.9812140242329039E-2</c:v>
                </c:pt>
                <c:pt idx="26">
                  <c:v>9.9812140242329039E-2</c:v>
                </c:pt>
                <c:pt idx="27">
                  <c:v>9.9812140242329039E-2</c:v>
                </c:pt>
                <c:pt idx="28">
                  <c:v>9.9812140242329039E-2</c:v>
                </c:pt>
                <c:pt idx="29">
                  <c:v>9.9812140242329039E-2</c:v>
                </c:pt>
                <c:pt idx="30">
                  <c:v>9.9812140242329039E-2</c:v>
                </c:pt>
                <c:pt idx="31">
                  <c:v>9.9812140242329039E-2</c:v>
                </c:pt>
                <c:pt idx="32">
                  <c:v>9.9812140242329039E-2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200-4275-8E20-00CEB67E8BE4}"/>
            </c:ext>
          </c:extLst>
        </c:ser>
        <c:ser>
          <c:idx val="15"/>
          <c:order val="15"/>
          <c:tx>
            <c:v>0.98 Ind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'DIGSILENT CAPABILITY TABLES'!$F$21:$AL$21</c:f>
              <c:numCache>
                <c:formatCode>General</c:formatCode>
                <c:ptCount val="33"/>
                <c:pt idx="0">
                  <c:v>-0.87308403564556236</c:v>
                </c:pt>
                <c:pt idx="1">
                  <c:v>-0.87153485689747523</c:v>
                </c:pt>
                <c:pt idx="2">
                  <c:v>-0.86687248924452043</c:v>
                </c:pt>
                <c:pt idx="3">
                  <c:v>-0.85905171930494129</c:v>
                </c:pt>
                <c:pt idx="4">
                  <c:v>-0.84799471127797732</c:v>
                </c:pt>
                <c:pt idx="5">
                  <c:v>-0.83358697856861708</c:v>
                </c:pt>
                <c:pt idx="6">
                  <c:v>-0.8156710579334473</c:v>
                </c:pt>
                <c:pt idx="7">
                  <c:v>-0.79403701124326764</c:v>
                </c:pt>
                <c:pt idx="8">
                  <c:v>-0.76840827975112513</c:v>
                </c:pt>
                <c:pt idx="9">
                  <c:v>-0.73842036078932416</c:v>
                </c:pt>
                <c:pt idx="10">
                  <c:v>-0.70358780360377271</c:v>
                </c:pt>
                <c:pt idx="11">
                  <c:v>-0.66325107638454994</c:v>
                </c:pt>
                <c:pt idx="12">
                  <c:v>-0.6164863300207537</c:v>
                </c:pt>
                <c:pt idx="13">
                  <c:v>-0.56194077200738357</c:v>
                </c:pt>
                <c:pt idx="14">
                  <c:v>-0.49750141718242424</c:v>
                </c:pt>
                <c:pt idx="15">
                  <c:v>-0.41952763539819932</c:v>
                </c:pt>
                <c:pt idx="16">
                  <c:v>-0.32062808866502968</c:v>
                </c:pt>
                <c:pt idx="17">
                  <c:v>-0.29086808222343635</c:v>
                </c:pt>
                <c:pt idx="18">
                  <c:v>-0.25815266195770598</c:v>
                </c:pt>
                <c:pt idx="19">
                  <c:v>-0.22159220466778418</c:v>
                </c:pt>
                <c:pt idx="20">
                  <c:v>-0.17970414923675193</c:v>
                </c:pt>
                <c:pt idx="21">
                  <c:v>-0.12964056513968245</c:v>
                </c:pt>
                <c:pt idx="22">
                  <c:v>-6.4256043762108403E-2</c:v>
                </c:pt>
                <c:pt idx="23">
                  <c:v>6.3306852790265364E-2</c:v>
                </c:pt>
                <c:pt idx="24">
                  <c:v>0.10401430066051739</c:v>
                </c:pt>
                <c:pt idx="25">
                  <c:v>0.10401430066051739</c:v>
                </c:pt>
                <c:pt idx="26">
                  <c:v>0.10401430066051739</c:v>
                </c:pt>
                <c:pt idx="27">
                  <c:v>0.10401430066051739</c:v>
                </c:pt>
                <c:pt idx="28">
                  <c:v>0.10401430066051739</c:v>
                </c:pt>
                <c:pt idx="29">
                  <c:v>0.10401430066051739</c:v>
                </c:pt>
                <c:pt idx="30">
                  <c:v>0.10401430066051739</c:v>
                </c:pt>
                <c:pt idx="31">
                  <c:v>0.10401430066051739</c:v>
                </c:pt>
                <c:pt idx="32">
                  <c:v>0.10401430066051739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200-4275-8E20-00CEB67E8BE4}"/>
            </c:ext>
          </c:extLst>
        </c:ser>
        <c:ser>
          <c:idx val="16"/>
          <c:order val="16"/>
          <c:tx>
            <c:v>1 Ind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'DIGSILENT CAPABILITY TABLES'!$F$22:$AL$22</c:f>
              <c:numCache>
                <c:formatCode>General</c:formatCode>
                <c:ptCount val="33"/>
                <c:pt idx="0">
                  <c:v>-0.88873601511811828</c:v>
                </c:pt>
                <c:pt idx="1">
                  <c:v>-0.8872178676778959</c:v>
                </c:pt>
                <c:pt idx="2">
                  <c:v>-0.8826494705697906</c:v>
                </c:pt>
                <c:pt idx="3">
                  <c:v>-0.874988310098475</c:v>
                </c:pt>
                <c:pt idx="4">
                  <c:v>-0.864161293821475</c:v>
                </c:pt>
                <c:pt idx="5">
                  <c:v>-0.85006113000391992</c:v>
                </c:pt>
                <c:pt idx="6">
                  <c:v>-0.83254066889885714</c:v>
                </c:pt>
                <c:pt idx="7">
                  <c:v>-0.81140446092703822</c:v>
                </c:pt>
                <c:pt idx="8">
                  <c:v>-0.78639628963011354</c:v>
                </c:pt>
                <c:pt idx="9">
                  <c:v>-0.75718057865177246</c:v>
                </c:pt>
                <c:pt idx="10">
                  <c:v>-0.72331399834144217</c:v>
                </c:pt>
                <c:pt idx="11">
                  <c:v>-0.68420052682605403</c:v>
                </c:pt>
                <c:pt idx="12">
                  <c:v>-0.63901677719737404</c:v>
                </c:pt>
                <c:pt idx="13">
                  <c:v>-0.58657962336259284</c:v>
                </c:pt>
                <c:pt idx="14">
                  <c:v>-0.52509014251669295</c:v>
                </c:pt>
                <c:pt idx="15">
                  <c:v>-0.45157367232537182</c:v>
                </c:pt>
                <c:pt idx="16">
                  <c:v>-0.36040469899515515</c:v>
                </c:pt>
                <c:pt idx="17">
                  <c:v>-0.33362216351144242</c:v>
                </c:pt>
                <c:pt idx="18">
                  <c:v>-0.30465059139411454</c:v>
                </c:pt>
                <c:pt idx="19">
                  <c:v>-0.27299132555791156</c:v>
                </c:pt>
                <c:pt idx="20">
                  <c:v>-0.2379078208436981</c:v>
                </c:pt>
                <c:pt idx="21">
                  <c:v>-0.19822657147422357</c:v>
                </c:pt>
                <c:pt idx="22">
                  <c:v>-0.15185214658254587</c:v>
                </c:pt>
                <c:pt idx="23">
                  <c:v>-9.4238106263852789E-2</c:v>
                </c:pt>
                <c:pt idx="24">
                  <c:v>-9.9635619767104496E-3</c:v>
                </c:pt>
                <c:pt idx="25">
                  <c:v>0.10830310356155498</c:v>
                </c:pt>
                <c:pt idx="26">
                  <c:v>0.10830310356155498</c:v>
                </c:pt>
                <c:pt idx="27">
                  <c:v>0.10830310356155498</c:v>
                </c:pt>
                <c:pt idx="28">
                  <c:v>0.10830310356155498</c:v>
                </c:pt>
                <c:pt idx="29">
                  <c:v>0.10830310356155498</c:v>
                </c:pt>
                <c:pt idx="30">
                  <c:v>0.10830310356155498</c:v>
                </c:pt>
                <c:pt idx="31">
                  <c:v>0.10830310356155498</c:v>
                </c:pt>
                <c:pt idx="32">
                  <c:v>0.10830310356155498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200-4275-8E20-00CEB67E8BE4}"/>
            </c:ext>
          </c:extLst>
        </c:ser>
        <c:ser>
          <c:idx val="17"/>
          <c:order val="17"/>
          <c:tx>
            <c:v>1.02 Ind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'DIGSILENT CAPABILITY TABLES'!$F$23:$AL$23</c:f>
              <c:numCache>
                <c:formatCode>General</c:formatCode>
                <c:ptCount val="33"/>
                <c:pt idx="0">
                  <c:v>-0.90430135210782492</c:v>
                </c:pt>
                <c:pt idx="1">
                  <c:v>-0.90281301633036704</c:v>
                </c:pt>
                <c:pt idx="2">
                  <c:v>-0.89833486300630483</c:v>
                </c:pt>
                <c:pt idx="3">
                  <c:v>-0.89082686665843647</c:v>
                </c:pt>
                <c:pt idx="4">
                  <c:v>-0.88022029743635966</c:v>
                </c:pt>
                <c:pt idx="5">
                  <c:v>-0.86641445947935125</c:v>
                </c:pt>
                <c:pt idx="6">
                  <c:v>-0.84927161564018361</c:v>
                </c:pt>
                <c:pt idx="7">
                  <c:v>-0.82860946178576489</c:v>
                </c:pt>
                <c:pt idx="8">
                  <c:v>-0.80419009985127232</c:v>
                </c:pt>
                <c:pt idx="9">
                  <c:v>-0.77570375566576111</c:v>
                </c:pt>
                <c:pt idx="10">
                  <c:v>-0.74274422322415168</c:v>
                </c:pt>
                <c:pt idx="11">
                  <c:v>-0.70477060491448629</c:v>
                </c:pt>
                <c:pt idx="12">
                  <c:v>-0.66104499286152185</c:v>
                </c:pt>
                <c:pt idx="13">
                  <c:v>-0.61052482435028077</c:v>
                </c:pt>
                <c:pt idx="14">
                  <c:v>-0.551661814984308</c:v>
                </c:pt>
                <c:pt idx="15">
                  <c:v>-0.48198364015549</c:v>
                </c:pt>
                <c:pt idx="16">
                  <c:v>-0.39707444922750901</c:v>
                </c:pt>
                <c:pt idx="17">
                  <c:v>-0.37256268657181352</c:v>
                </c:pt>
                <c:pt idx="18">
                  <c:v>-0.34633329093051668</c:v>
                </c:pt>
                <c:pt idx="19">
                  <c:v>-0.31807260502435575</c:v>
                </c:pt>
                <c:pt idx="20">
                  <c:v>-0.28735034894358857</c:v>
                </c:pt>
                <c:pt idx="21">
                  <c:v>-0.25354755149841296</c:v>
                </c:pt>
                <c:pt idx="22">
                  <c:v>-0.21571430899503177</c:v>
                </c:pt>
                <c:pt idx="23">
                  <c:v>-0.17224961155525745</c:v>
                </c:pt>
                <c:pt idx="24">
                  <c:v>-0.12001893524016845</c:v>
                </c:pt>
                <c:pt idx="25">
                  <c:v>-5.082697587348306E-2</c:v>
                </c:pt>
                <c:pt idx="26">
                  <c:v>0.11267854894544181</c:v>
                </c:pt>
                <c:pt idx="27">
                  <c:v>0.11267854894544181</c:v>
                </c:pt>
                <c:pt idx="28">
                  <c:v>0.11267854894544181</c:v>
                </c:pt>
                <c:pt idx="29">
                  <c:v>0.11267854894544181</c:v>
                </c:pt>
                <c:pt idx="30">
                  <c:v>0.11267854894544181</c:v>
                </c:pt>
                <c:pt idx="31">
                  <c:v>0.11267854894544181</c:v>
                </c:pt>
                <c:pt idx="32">
                  <c:v>0.11267854894544181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200-4275-8E20-00CEB67E8BE4}"/>
            </c:ext>
          </c:extLst>
        </c:ser>
        <c:ser>
          <c:idx val="18"/>
          <c:order val="18"/>
          <c:tx>
            <c:v>1.04 Ind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'DIGSILENT CAPABILITY TABLES'!$F$24:$AL$24</c:f>
              <c:numCache>
                <c:formatCode>General</c:formatCode>
                <c:ptCount val="33"/>
                <c:pt idx="0">
                  <c:v>-0.91978004661468249</c:v>
                </c:pt>
                <c:pt idx="1">
                  <c:v>-0.91832037342356587</c:v>
                </c:pt>
                <c:pt idx="2">
                  <c:v>-0.91392895527093032</c:v>
                </c:pt>
                <c:pt idx="3">
                  <c:v>-0.90656806380456856</c:v>
                </c:pt>
                <c:pt idx="4">
                  <c:v>-0.89617298873443796</c:v>
                </c:pt>
                <c:pt idx="5">
                  <c:v>-0.88264909294024718</c:v>
                </c:pt>
                <c:pt idx="6">
                  <c:v>-0.86586724907604184</c:v>
                </c:pt>
                <c:pt idx="7">
                  <c:v>-0.84565711127327914</c:v>
                </c:pt>
                <c:pt idx="8">
                  <c:v>-0.82179732903989444</c:v>
                </c:pt>
                <c:pt idx="9">
                  <c:v>-0.7940012312404473</c:v>
                </c:pt>
                <c:pt idx="10">
                  <c:v>-0.76189548515234495</c:v>
                </c:pt>
                <c:pt idx="11">
                  <c:v>-0.72498732479367411</c:v>
                </c:pt>
                <c:pt idx="12">
                  <c:v>-0.68261213981221591</c:v>
                </c:pt>
                <c:pt idx="13">
                  <c:v>-0.63384505127943103</c:v>
                </c:pt>
                <c:pt idx="14">
                  <c:v>-0.57734082710059442</c:v>
                </c:pt>
                <c:pt idx="15">
                  <c:v>-0.51101499972898001</c:v>
                </c:pt>
                <c:pt idx="16">
                  <c:v>-0.43131583704735044</c:v>
                </c:pt>
                <c:pt idx="17">
                  <c:v>-0.40861162539734175</c:v>
                </c:pt>
                <c:pt idx="18">
                  <c:v>-0.38450490908495011</c:v>
                </c:pt>
                <c:pt idx="19">
                  <c:v>-0.35878261458286298</c:v>
                </c:pt>
                <c:pt idx="20">
                  <c:v>-0.33116673956972736</c:v>
                </c:pt>
                <c:pt idx="21">
                  <c:v>-0.30128252365868724</c:v>
                </c:pt>
                <c:pt idx="22">
                  <c:v>-0.26860313010885362</c:v>
                </c:pt>
                <c:pt idx="23">
                  <c:v>-0.23234533031443977</c:v>
                </c:pt>
                <c:pt idx="24">
                  <c:v>-0.19124954415736489</c:v>
                </c:pt>
                <c:pt idx="25">
                  <c:v>-0.14303323047357985</c:v>
                </c:pt>
                <c:pt idx="26">
                  <c:v>-8.2604835523059569E-2</c:v>
                </c:pt>
                <c:pt idx="27">
                  <c:v>8.8450172404370905E-3</c:v>
                </c:pt>
                <c:pt idx="28">
                  <c:v>0.1171406368121779</c:v>
                </c:pt>
                <c:pt idx="29">
                  <c:v>0.1171406368121779</c:v>
                </c:pt>
                <c:pt idx="30">
                  <c:v>0.1171406368121779</c:v>
                </c:pt>
                <c:pt idx="31">
                  <c:v>0.1171406368121779</c:v>
                </c:pt>
                <c:pt idx="32">
                  <c:v>0.1171406368121779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200-4275-8E20-00CEB67E8BE4}"/>
            </c:ext>
          </c:extLst>
        </c:ser>
        <c:ser>
          <c:idx val="19"/>
          <c:order val="19"/>
          <c:tx>
            <c:v>1,06 Ind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'DIGSILENT CAPABILITY TABLES'!$F$25:$AL$25</c:f>
              <c:numCache>
                <c:formatCode>General</c:formatCode>
                <c:ptCount val="33"/>
                <c:pt idx="0">
                  <c:v>-0.93517209863869066</c:v>
                </c:pt>
                <c:pt idx="1">
                  <c:v>-0.933740004181428</c:v>
                </c:pt>
                <c:pt idx="2">
                  <c:v>-0.92943201398024544</c:v>
                </c:pt>
                <c:pt idx="3">
                  <c:v>-0.92221252377142393</c:v>
                </c:pt>
                <c:pt idx="4">
                  <c:v>-0.91202053309743614</c:v>
                </c:pt>
                <c:pt idx="5">
                  <c:v>-0.89876698070123284</c:v>
                </c:pt>
                <c:pt idx="6">
                  <c:v>-0.88233063159019587</c:v>
                </c:pt>
                <c:pt idx="7">
                  <c:v>-0.86255204524369133</c:v>
                </c:pt>
                <c:pt idx="8">
                  <c:v>-0.83922486308664135</c:v>
                </c:pt>
                <c:pt idx="9">
                  <c:v>-0.81208317360707094</c:v>
                </c:pt>
                <c:pt idx="10">
                  <c:v>-0.78078288055219514</c:v>
                </c:pt>
                <c:pt idx="11">
                  <c:v>-0.74487347412205518</c:v>
                </c:pt>
                <c:pt idx="12">
                  <c:v>-0.70375363989195461</c:v>
                </c:pt>
                <c:pt idx="13">
                  <c:v>-0.65659795632094908</c:v>
                </c:pt>
                <c:pt idx="14">
                  <c:v>-0.60222786422168995</c:v>
                </c:pt>
                <c:pt idx="15">
                  <c:v>-0.53886430809399077</c:v>
                </c:pt>
                <c:pt idx="16">
                  <c:v>-0.46359360533434846</c:v>
                </c:pt>
                <c:pt idx="17">
                  <c:v>-0.44237365714836147</c:v>
                </c:pt>
                <c:pt idx="18">
                  <c:v>-0.41997465037483145</c:v>
                </c:pt>
                <c:pt idx="19">
                  <c:v>-0.39624363564254161</c:v>
                </c:pt>
                <c:pt idx="20">
                  <c:v>-0.37098817230384307</c:v>
                </c:pt>
                <c:pt idx="21">
                  <c:v>-0.34396028160207309</c:v>
                </c:pt>
                <c:pt idx="22">
                  <c:v>-0.31483085905219343</c:v>
                </c:pt>
                <c:pt idx="23">
                  <c:v>-0.2831465198268831</c:v>
                </c:pt>
                <c:pt idx="24">
                  <c:v>-0.24825138200475411</c:v>
                </c:pt>
                <c:pt idx="25">
                  <c:v>-0.20913096987011248</c:v>
                </c:pt>
                <c:pt idx="26">
                  <c:v>-0.1640551129142023</c:v>
                </c:pt>
                <c:pt idx="27">
                  <c:v>-0.10956719035365931</c:v>
                </c:pt>
                <c:pt idx="28">
                  <c:v>-3.6206667917916754E-2</c:v>
                </c:pt>
                <c:pt idx="29">
                  <c:v>0.12168936716176319</c:v>
                </c:pt>
                <c:pt idx="30">
                  <c:v>0.12168936716176319</c:v>
                </c:pt>
                <c:pt idx="31">
                  <c:v>0.12168936716176319</c:v>
                </c:pt>
                <c:pt idx="32">
                  <c:v>9.3725712708859418E-2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200-4275-8E20-00CEB67E8BE4}"/>
            </c:ext>
          </c:extLst>
        </c:ser>
        <c:ser>
          <c:idx val="20"/>
          <c:order val="20"/>
          <c:tx>
            <c:v>1.08 Ind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'DIGSILENT CAPABILITY TABLES'!$F$26:$AL$26</c:f>
              <c:numCache>
                <c:formatCode>General</c:formatCode>
                <c:ptCount val="33"/>
                <c:pt idx="0">
                  <c:v>-0.95047750817984944</c:v>
                </c:pt>
                <c:pt idx="1">
                  <c:v>-0.9490719689800684</c:v>
                </c:pt>
                <c:pt idx="2">
                  <c:v>-0.94484428573081936</c:v>
                </c:pt>
                <c:pt idx="3">
                  <c:v>-0.9377608212614198</c:v>
                </c:pt>
                <c:pt idx="4">
                  <c:v>-0.92776400469131615</c:v>
                </c:pt>
                <c:pt idx="5">
                  <c:v>-0.91476991548756137</c:v>
                </c:pt>
                <c:pt idx="6">
                  <c:v>-0.89866456808305373</c:v>
                </c:pt>
                <c:pt idx="7">
                  <c:v>-0.87929849048165132</c:v>
                </c:pt>
                <c:pt idx="8">
                  <c:v>-0.85647894420355819</c:v>
                </c:pt>
                <c:pt idx="9">
                  <c:v>-0.82995873349715288</c:v>
                </c:pt>
                <c:pt idx="10">
                  <c:v>-0.79941986931912823</c:v>
                </c:pt>
                <c:pt idx="11">
                  <c:v>-0.76444912674903043</c:v>
                </c:pt>
                <c:pt idx="12">
                  <c:v>-0.72450020185499531</c:v>
                </c:pt>
                <c:pt idx="13">
                  <c:v>-0.67883243824659933</c:v>
                </c:pt>
                <c:pt idx="14">
                  <c:v>-0.62640567766718691</c:v>
                </c:pt>
                <c:pt idx="15">
                  <c:v>-0.56568543454999387</c:v>
                </c:pt>
                <c:pt idx="16">
                  <c:v>-0.49424200232501703</c:v>
                </c:pt>
                <c:pt idx="17">
                  <c:v>-0.47426998123858394</c:v>
                </c:pt>
                <c:pt idx="18">
                  <c:v>-0.45328446599953287</c:v>
                </c:pt>
                <c:pt idx="19">
                  <c:v>-0.43117101709520161</c:v>
                </c:pt>
                <c:pt idx="20">
                  <c:v>-0.40778955645618048</c:v>
                </c:pt>
                <c:pt idx="21">
                  <c:v>-0.3829654711552829</c:v>
                </c:pt>
                <c:pt idx="22">
                  <c:v>-0.35647628700624506</c:v>
                </c:pt>
                <c:pt idx="23">
                  <c:v>-0.32803086872289788</c:v>
                </c:pt>
                <c:pt idx="24">
                  <c:v>-0.29723526953536422</c:v>
                </c:pt>
                <c:pt idx="25">
                  <c:v>-0.26353295092991674</c:v>
                </c:pt>
                <c:pt idx="26">
                  <c:v>-0.22609096861238864</c:v>
                </c:pt>
                <c:pt idx="27">
                  <c:v>-0.18355671987825489</c:v>
                </c:pt>
                <c:pt idx="28">
                  <c:v>-0.13344069587570789</c:v>
                </c:pt>
                <c:pt idx="29">
                  <c:v>-7.0020667827534189E-2</c:v>
                </c:pt>
                <c:pt idx="30">
                  <c:v>3.0164292445935003E-2</c:v>
                </c:pt>
                <c:pt idx="31">
                  <c:v>0.12632473999419774</c:v>
                </c:pt>
                <c:pt idx="32">
                  <c:v>-2.6499586619677995E-2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200-4275-8E20-00CEB67E8BE4}"/>
            </c:ext>
          </c:extLst>
        </c:ser>
        <c:ser>
          <c:idx val="21"/>
          <c:order val="21"/>
          <c:tx>
            <c:v>1.1 Ind</c:v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'DIGSILENT CAPABILITY TABLES'!$F$27:$AL$27</c:f>
              <c:numCache>
                <c:formatCode>General</c:formatCode>
                <c:ptCount val="33"/>
                <c:pt idx="0">
                  <c:v>-0.96569627523815904</c:v>
                </c:pt>
                <c:pt idx="1">
                  <c:v>-0.96431632379024013</c:v>
                </c:pt>
                <c:pt idx="2">
                  <c:v>-0.96016599894828614</c:v>
                </c:pt>
                <c:pt idx="3">
                  <c:v>-0.95321348792312133</c:v>
                </c:pt>
                <c:pt idx="4">
                  <c:v>-0.94340439530408771</c:v>
                </c:pt>
                <c:pt idx="5">
                  <c:v>-0.93065954826737063</c:v>
                </c:pt>
                <c:pt idx="6">
                  <c:v>-0.91487163302434205</c:v>
                </c:pt>
                <c:pt idx="7">
                  <c:v>-0.89590031005212856</c:v>
                </c:pt>
                <c:pt idx="8">
                  <c:v>-0.8735652469355758</c:v>
                </c:pt>
                <c:pt idx="9">
                  <c:v>-0.84763617345489783</c:v>
                </c:pt>
                <c:pt idx="10">
                  <c:v>-0.81781850122319566</c:v>
                </c:pt>
                <c:pt idx="11">
                  <c:v>-0.78373205678381508</c:v>
                </c:pt>
                <c:pt idx="12">
                  <c:v>-0.74487862681779948</c:v>
                </c:pt>
                <c:pt idx="13">
                  <c:v>-0.70059035007652948</c:v>
                </c:pt>
                <c:pt idx="14">
                  <c:v>-0.64994317743922114</c:v>
                </c:pt>
                <c:pt idx="15">
                  <c:v>-0.59160134373653639</c:v>
                </c:pt>
                <c:pt idx="16">
                  <c:v>-0.52351055696716187</c:v>
                </c:pt>
                <c:pt idx="17">
                  <c:v>-0.50460740581496466</c:v>
                </c:pt>
                <c:pt idx="18">
                  <c:v>-0.48481769816613796</c:v>
                </c:pt>
                <c:pt idx="19">
                  <c:v>-0.46405299477853779</c:v>
                </c:pt>
                <c:pt idx="20">
                  <c:v>-0.44220735505940473</c:v>
                </c:pt>
                <c:pt idx="21">
                  <c:v>-0.41915203835951892</c:v>
                </c:pt>
                <c:pt idx="22">
                  <c:v>-0.39472793508063514</c:v>
                </c:pt>
                <c:pt idx="23">
                  <c:v>-0.36873440935643814</c:v>
                </c:pt>
                <c:pt idx="24">
                  <c:v>-0.34091222072002814</c:v>
                </c:pt>
                <c:pt idx="25">
                  <c:v>-0.31091615326410338</c:v>
                </c:pt>
                <c:pt idx="26">
                  <c:v>-0.27826855720010807</c:v>
                </c:pt>
                <c:pt idx="27">
                  <c:v>-0.24227443690283193</c:v>
                </c:pt>
                <c:pt idx="28">
                  <c:v>-0.20185003808874674</c:v>
                </c:pt>
                <c:pt idx="29">
                  <c:v>-0.15512401984902915</c:v>
                </c:pt>
                <c:pt idx="30">
                  <c:v>-9.8276215748419299E-2</c:v>
                </c:pt>
                <c:pt idx="31">
                  <c:v>-2.0301229661652286E-2</c:v>
                </c:pt>
                <c:pt idx="32">
                  <c:v>0.13104675530948151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200-4275-8E20-00CEB67E8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650480"/>
        <c:axId val="535651024"/>
      </c:scatterChart>
      <c:valAx>
        <c:axId val="53565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5651024"/>
        <c:crosses val="autoZero"/>
        <c:crossBetween val="midCat"/>
      </c:valAx>
      <c:valAx>
        <c:axId val="535651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5650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601824861723905E-2"/>
          <c:y val="1.1824255824579636E-2"/>
          <c:w val="0.97266442885115556"/>
          <c:h val="0.91870898340817564"/>
        </c:manualLayout>
      </c:layout>
      <c:scatterChart>
        <c:scatterStyle val="lineMarker"/>
        <c:varyColors val="0"/>
        <c:ser>
          <c:idx val="0"/>
          <c:order val="0"/>
          <c:tx>
            <c:v>0.9 Cap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'DIGSILENT CAPABILITY TABLES'!$F$32:$AL$32</c:f>
              <c:numCache>
                <c:formatCode>General</c:formatCode>
                <c:ptCount val="33"/>
                <c:pt idx="0">
                  <c:v>0.98506072069656547</c:v>
                </c:pt>
                <c:pt idx="1">
                  <c:v>0.98337358840062994</c:v>
                </c:pt>
                <c:pt idx="2">
                  <c:v>0.97829301463020291</c:v>
                </c:pt>
                <c:pt idx="3">
                  <c:v>0.96976036205346061</c:v>
                </c:pt>
                <c:pt idx="4">
                  <c:v>0.95767406028505164</c:v>
                </c:pt>
                <c:pt idx="5">
                  <c:v>0.94188327061590227</c:v>
                </c:pt>
                <c:pt idx="6">
                  <c:v>0.92217771346480371</c:v>
                </c:pt>
                <c:pt idx="7">
                  <c:v>0.89827191809858919</c:v>
                </c:pt>
                <c:pt idx="8">
                  <c:v>0.86978080181775697</c:v>
                </c:pt>
                <c:pt idx="9">
                  <c:v>0.83618090559755665</c:v>
                </c:pt>
                <c:pt idx="10">
                  <c:v>0.79674629875918679</c:v>
                </c:pt>
                <c:pt idx="11">
                  <c:v>0.7504362150085151</c:v>
                </c:pt>
                <c:pt idx="12">
                  <c:v>0.6956814936924498</c:v>
                </c:pt>
                <c:pt idx="13">
                  <c:v>0.62992978663066435</c:v>
                </c:pt>
                <c:pt idx="14">
                  <c:v>0.54849712041439302</c:v>
                </c:pt>
                <c:pt idx="15">
                  <c:v>0.44069218849282749</c:v>
                </c:pt>
                <c:pt idx="16">
                  <c:v>0.2632546379179026</c:v>
                </c:pt>
                <c:pt idx="17">
                  <c:v>0.16785922017507912</c:v>
                </c:pt>
                <c:pt idx="18">
                  <c:v>8.7725513884859524E-2</c:v>
                </c:pt>
                <c:pt idx="19">
                  <c:v>8.7725513884859524E-2</c:v>
                </c:pt>
                <c:pt idx="20">
                  <c:v>8.7725513884859524E-2</c:v>
                </c:pt>
                <c:pt idx="21">
                  <c:v>8.7725513884859524E-2</c:v>
                </c:pt>
                <c:pt idx="22">
                  <c:v>8.7725513884859524E-2</c:v>
                </c:pt>
                <c:pt idx="23">
                  <c:v>8.7725513884859524E-2</c:v>
                </c:pt>
                <c:pt idx="24">
                  <c:v>8.7725513884859524E-2</c:v>
                </c:pt>
                <c:pt idx="25">
                  <c:v>8.7725513884859524E-2</c:v>
                </c:pt>
                <c:pt idx="26">
                  <c:v>8.7725513884859524E-2</c:v>
                </c:pt>
                <c:pt idx="27">
                  <c:v>8.7725513884859524E-2</c:v>
                </c:pt>
                <c:pt idx="28">
                  <c:v>8.7725513884859524E-2</c:v>
                </c:pt>
                <c:pt idx="29">
                  <c:v>8.7725513884859524E-2</c:v>
                </c:pt>
                <c:pt idx="30">
                  <c:v>8.7725513884859524E-2</c:v>
                </c:pt>
                <c:pt idx="31">
                  <c:v>8.7725513884859524E-2</c:v>
                </c:pt>
                <c:pt idx="32">
                  <c:v>8.7725513884859524E-2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4-42AD-80D8-FD039964683B}"/>
            </c:ext>
          </c:extLst>
        </c:ser>
        <c:ser>
          <c:idx val="6"/>
          <c:order val="1"/>
          <c:tx>
            <c:v>0.92 Cap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'DIGSILENT CAPABILITY TABLES'!$F$33:$AL$33</c:f>
              <c:numCache>
                <c:formatCode>General</c:formatCode>
                <c:ptCount val="33"/>
                <c:pt idx="0">
                  <c:v>1.0089437360397995</c:v>
                </c:pt>
                <c:pt idx="1">
                  <c:v>1.0072933473790102</c:v>
                </c:pt>
                <c:pt idx="2">
                  <c:v>1.0023242355130224</c:v>
                </c:pt>
                <c:pt idx="3">
                  <c:v>0.99398157271325827</c:v>
                </c:pt>
                <c:pt idx="4">
                  <c:v>0.9821705488354201</c:v>
                </c:pt>
                <c:pt idx="5">
                  <c:v>0.96675073739646555</c:v>
                </c:pt>
                <c:pt idx="6">
                  <c:v>0.94752710465569268</c:v>
                </c:pt>
                <c:pt idx="7">
                  <c:v>0.92423620670382045</c:v>
                </c:pt>
                <c:pt idx="8">
                  <c:v>0.89652502633693698</c:v>
                </c:pt>
                <c:pt idx="9">
                  <c:v>0.86391786199587695</c:v>
                </c:pt>
                <c:pt idx="10">
                  <c:v>0.82576259109185723</c:v>
                </c:pt>
                <c:pt idx="11">
                  <c:v>0.78113873270950296</c:v>
                </c:pt>
                <c:pt idx="12">
                  <c:v>0.72868834333146626</c:v>
                </c:pt>
                <c:pt idx="13">
                  <c:v>0.66627216759616981</c:v>
                </c:pt>
                <c:pt idx="14">
                  <c:v>0.59016071604851961</c:v>
                </c:pt>
                <c:pt idx="15">
                  <c:v>0.49262939132422934</c:v>
                </c:pt>
                <c:pt idx="16">
                  <c:v>0.35050213470872221</c:v>
                </c:pt>
                <c:pt idx="17">
                  <c:v>0.29808038657375197</c:v>
                </c:pt>
                <c:pt idx="18">
                  <c:v>0.2252304300256229</c:v>
                </c:pt>
                <c:pt idx="19">
                  <c:v>9.1667746854500132E-2</c:v>
                </c:pt>
                <c:pt idx="20">
                  <c:v>9.1667746854500132E-2</c:v>
                </c:pt>
                <c:pt idx="21">
                  <c:v>9.1667746854500132E-2</c:v>
                </c:pt>
                <c:pt idx="22">
                  <c:v>9.1667746854500132E-2</c:v>
                </c:pt>
                <c:pt idx="23">
                  <c:v>9.1667746854500132E-2</c:v>
                </c:pt>
                <c:pt idx="24">
                  <c:v>9.1667746854500132E-2</c:v>
                </c:pt>
                <c:pt idx="25">
                  <c:v>9.1667746854500132E-2</c:v>
                </c:pt>
                <c:pt idx="26">
                  <c:v>9.1667746854500132E-2</c:v>
                </c:pt>
                <c:pt idx="27">
                  <c:v>9.1667746854500132E-2</c:v>
                </c:pt>
                <c:pt idx="28">
                  <c:v>9.1667746854500132E-2</c:v>
                </c:pt>
                <c:pt idx="29">
                  <c:v>9.1667746854500132E-2</c:v>
                </c:pt>
                <c:pt idx="30">
                  <c:v>9.1667746854500132E-2</c:v>
                </c:pt>
                <c:pt idx="31">
                  <c:v>9.1667746854500132E-2</c:v>
                </c:pt>
                <c:pt idx="32">
                  <c:v>9.1667746854500132E-2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B4-42AD-80D8-FD039964683B}"/>
            </c:ext>
          </c:extLst>
        </c:ser>
        <c:ser>
          <c:idx val="7"/>
          <c:order val="2"/>
          <c:tx>
            <c:v>0.94 Cap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'DIGSILENT CAPABILITY TABLES'!$F$34:$AL$34</c:f>
              <c:numCache>
                <c:formatCode>General</c:formatCode>
                <c:ptCount val="33"/>
                <c:pt idx="0">
                  <c:v>1.0329133938658828</c:v>
                </c:pt>
                <c:pt idx="1">
                  <c:v>1.0312981811402757</c:v>
                </c:pt>
                <c:pt idx="2">
                  <c:v>1.0264357247902121</c:v>
                </c:pt>
                <c:pt idx="3">
                  <c:v>1.0182746823600535</c:v>
                </c:pt>
                <c:pt idx="4">
                  <c:v>1.0067264115517074</c:v>
                </c:pt>
                <c:pt idx="5">
                  <c:v>0.99165994571441263</c:v>
                </c:pt>
                <c:pt idx="6">
                  <c:v>0.97289402135196779</c:v>
                </c:pt>
                <c:pt idx="7">
                  <c:v>0.95018493521201386</c:v>
                </c:pt>
                <c:pt idx="8">
                  <c:v>0.92320811883817033</c:v>
                </c:pt>
                <c:pt idx="9">
                  <c:v>0.89152969330320964</c:v>
                </c:pt>
                <c:pt idx="10">
                  <c:v>0.8545610877362747</c:v>
                </c:pt>
                <c:pt idx="11">
                  <c:v>0.81148309667715723</c:v>
                </c:pt>
                <c:pt idx="12">
                  <c:v>0.7611102357019025</c:v>
                </c:pt>
                <c:pt idx="13">
                  <c:v>0.70162588954143712</c:v>
                </c:pt>
                <c:pt idx="14">
                  <c:v>0.62999548707396114</c:v>
                </c:pt>
                <c:pt idx="15">
                  <c:v>0.54038783752410435</c:v>
                </c:pt>
                <c:pt idx="16">
                  <c:v>0.41814859840773333</c:v>
                </c:pt>
                <c:pt idx="17">
                  <c:v>0.37780690994512989</c:v>
                </c:pt>
                <c:pt idx="18">
                  <c:v>0.3298312564200877</c:v>
                </c:pt>
                <c:pt idx="19">
                  <c:v>0.26795722253604454</c:v>
                </c:pt>
                <c:pt idx="20">
                  <c:v>0.16011926499784759</c:v>
                </c:pt>
                <c:pt idx="21">
                  <c:v>9.569662230698997E-2</c:v>
                </c:pt>
                <c:pt idx="22">
                  <c:v>9.569662230698997E-2</c:v>
                </c:pt>
                <c:pt idx="23">
                  <c:v>9.569662230698997E-2</c:v>
                </c:pt>
                <c:pt idx="24">
                  <c:v>9.569662230698997E-2</c:v>
                </c:pt>
                <c:pt idx="25">
                  <c:v>9.569662230698997E-2</c:v>
                </c:pt>
                <c:pt idx="26">
                  <c:v>9.569662230698997E-2</c:v>
                </c:pt>
                <c:pt idx="27">
                  <c:v>9.569662230698997E-2</c:v>
                </c:pt>
                <c:pt idx="28">
                  <c:v>9.569662230698997E-2</c:v>
                </c:pt>
                <c:pt idx="29">
                  <c:v>9.569662230698997E-2</c:v>
                </c:pt>
                <c:pt idx="30">
                  <c:v>9.569662230698997E-2</c:v>
                </c:pt>
                <c:pt idx="31">
                  <c:v>9.569662230698997E-2</c:v>
                </c:pt>
                <c:pt idx="32">
                  <c:v>9.569662230698997E-2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B4-42AD-80D8-FD039964683B}"/>
            </c:ext>
          </c:extLst>
        </c:ser>
        <c:ser>
          <c:idx val="8"/>
          <c:order val="3"/>
          <c:tx>
            <c:v>0.96 Cap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'DIGSILENT CAPABILITY TABLES'!$F$35:$AL$35</c:f>
              <c:numCache>
                <c:formatCode>General</c:formatCode>
                <c:ptCount val="33"/>
                <c:pt idx="0">
                  <c:v>1.0569696941748155</c:v>
                </c:pt>
                <c:pt idx="1">
                  <c:v>1.0553881880009681</c:v>
                </c:pt>
                <c:pt idx="2">
                  <c:v>1.0506278863519631</c:v>
                </c:pt>
                <c:pt idx="3">
                  <c:v>1.0426406416411891</c:v>
                </c:pt>
                <c:pt idx="4">
                  <c:v>1.031343451068766</c:v>
                </c:pt>
                <c:pt idx="5">
                  <c:v>1.0166139634571503</c:v>
                </c:pt>
                <c:pt idx="6">
                  <c:v>0.99828338800155492</c:v>
                </c:pt>
                <c:pt idx="7">
                  <c:v>0.97612577305310544</c:v>
                </c:pt>
                <c:pt idx="8">
                  <c:v>0.94984189445686273</c:v>
                </c:pt>
                <c:pt idx="9">
                  <c:v>0.91903468818032397</c:v>
                </c:pt>
                <c:pt idx="10">
                  <c:v>0.88317066802511923</c:v>
                </c:pt>
                <c:pt idx="11">
                  <c:v>0.84151665219437344</c:v>
                </c:pt>
                <c:pt idx="12">
                  <c:v>0.79302969848073701</c:v>
                </c:pt>
                <c:pt idx="13">
                  <c:v>0.73614977314645036</c:v>
                </c:pt>
                <c:pt idx="14">
                  <c:v>0.66836344228113409</c:v>
                </c:pt>
                <c:pt idx="15">
                  <c:v>0.58512192074342351</c:v>
                </c:pt>
                <c:pt idx="16">
                  <c:v>0.47630992649082832</c:v>
                </c:pt>
                <c:pt idx="17">
                  <c:v>0.44239281767469751</c:v>
                </c:pt>
                <c:pt idx="18">
                  <c:v>0.40410530981736337</c:v>
                </c:pt>
                <c:pt idx="19">
                  <c:v>0.35952163284901167</c:v>
                </c:pt>
                <c:pt idx="20">
                  <c:v>0.30456951629999474</c:v>
                </c:pt>
                <c:pt idx="21">
                  <c:v>0.22639816060010937</c:v>
                </c:pt>
                <c:pt idx="22">
                  <c:v>9.9812140242329039E-2</c:v>
                </c:pt>
                <c:pt idx="23">
                  <c:v>9.9812140242329039E-2</c:v>
                </c:pt>
                <c:pt idx="24">
                  <c:v>9.9812140242329039E-2</c:v>
                </c:pt>
                <c:pt idx="25">
                  <c:v>9.9812140242329039E-2</c:v>
                </c:pt>
                <c:pt idx="26">
                  <c:v>9.9812140242329039E-2</c:v>
                </c:pt>
                <c:pt idx="27">
                  <c:v>9.9812140242329039E-2</c:v>
                </c:pt>
                <c:pt idx="28">
                  <c:v>9.9812140242329039E-2</c:v>
                </c:pt>
                <c:pt idx="29">
                  <c:v>9.9812140242329039E-2</c:v>
                </c:pt>
                <c:pt idx="30">
                  <c:v>9.9812140242329039E-2</c:v>
                </c:pt>
                <c:pt idx="31">
                  <c:v>9.9812140242329039E-2</c:v>
                </c:pt>
                <c:pt idx="32">
                  <c:v>9.9812140242329039E-2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B4-42AD-80D8-FD039964683B}"/>
            </c:ext>
          </c:extLst>
        </c:ser>
        <c:ser>
          <c:idx val="9"/>
          <c:order val="4"/>
          <c:tx>
            <c:v>0.98 Cap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'DIGSILENT CAPABILITY TABLES'!$F$36:$AL$36</c:f>
              <c:numCache>
                <c:formatCode>General</c:formatCode>
                <c:ptCount val="33"/>
                <c:pt idx="0">
                  <c:v>1.0811126369665971</c:v>
                </c:pt>
                <c:pt idx="1">
                  <c:v>1.0795634582185096</c:v>
                </c:pt>
                <c:pt idx="2">
                  <c:v>1.0749010905655552</c:v>
                </c:pt>
                <c:pt idx="3">
                  <c:v>1.0670803206259758</c:v>
                </c:pt>
                <c:pt idx="4">
                  <c:v>1.0560233125990122</c:v>
                </c:pt>
                <c:pt idx="5">
                  <c:v>1.0416155798896516</c:v>
                </c:pt>
                <c:pt idx="6">
                  <c:v>1.0236996592544818</c:v>
                </c:pt>
                <c:pt idx="7">
                  <c:v>1.0020656125643022</c:v>
                </c:pt>
                <c:pt idx="8">
                  <c:v>0.97643688107215998</c:v>
                </c:pt>
                <c:pt idx="9">
                  <c:v>0.94644896211035889</c:v>
                </c:pt>
                <c:pt idx="10">
                  <c:v>0.91161640492480744</c:v>
                </c:pt>
                <c:pt idx="11">
                  <c:v>0.87127967770558445</c:v>
                </c:pt>
                <c:pt idx="12">
                  <c:v>0.82451493134178844</c:v>
                </c:pt>
                <c:pt idx="13">
                  <c:v>0.76996937332841831</c:v>
                </c:pt>
                <c:pt idx="14">
                  <c:v>0.70553001850345887</c:v>
                </c:pt>
                <c:pt idx="15">
                  <c:v>0.627556236719234</c:v>
                </c:pt>
                <c:pt idx="16">
                  <c:v>0.52865668998606452</c:v>
                </c:pt>
                <c:pt idx="17">
                  <c:v>0.49889668354447086</c:v>
                </c:pt>
                <c:pt idx="18">
                  <c:v>0.46618126327874032</c:v>
                </c:pt>
                <c:pt idx="19">
                  <c:v>0.42962080598881897</c:v>
                </c:pt>
                <c:pt idx="20">
                  <c:v>0.38773275055778622</c:v>
                </c:pt>
                <c:pt idx="21">
                  <c:v>0.33766916646071665</c:v>
                </c:pt>
                <c:pt idx="22">
                  <c:v>0.27228464508314326</c:v>
                </c:pt>
                <c:pt idx="23">
                  <c:v>0.14472174853076442</c:v>
                </c:pt>
                <c:pt idx="24">
                  <c:v>0.10401430066051739</c:v>
                </c:pt>
                <c:pt idx="25">
                  <c:v>0.10401430066051739</c:v>
                </c:pt>
                <c:pt idx="26">
                  <c:v>0.10401430066051739</c:v>
                </c:pt>
                <c:pt idx="27">
                  <c:v>0.10401430066051739</c:v>
                </c:pt>
                <c:pt idx="28">
                  <c:v>0.10401430066051739</c:v>
                </c:pt>
                <c:pt idx="29">
                  <c:v>0.10401430066051739</c:v>
                </c:pt>
                <c:pt idx="30">
                  <c:v>0.10401430066051739</c:v>
                </c:pt>
                <c:pt idx="31">
                  <c:v>0.10401430066051739</c:v>
                </c:pt>
                <c:pt idx="32">
                  <c:v>0.10401430066051739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B4-42AD-80D8-FD039964683B}"/>
            </c:ext>
          </c:extLst>
        </c:ser>
        <c:ser>
          <c:idx val="1"/>
          <c:order val="5"/>
          <c:tx>
            <c:v>1 Cap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'DIGSILENT CAPABILITY TABLES'!$F$37:$AL$37</c:f>
              <c:numCache>
                <c:formatCode>General</c:formatCode>
                <c:ptCount val="33"/>
                <c:pt idx="0">
                  <c:v>1.1053422222412281</c:v>
                </c:pt>
                <c:pt idx="1">
                  <c:v>1.1038240748010058</c:v>
                </c:pt>
                <c:pt idx="2">
                  <c:v>1.0992556776929003</c:v>
                </c:pt>
                <c:pt idx="3">
                  <c:v>1.0915945172215844</c:v>
                </c:pt>
                <c:pt idx="4">
                  <c:v>1.080767500944585</c:v>
                </c:pt>
                <c:pt idx="5">
                  <c:v>1.0666673371270297</c:v>
                </c:pt>
                <c:pt idx="6">
                  <c:v>1.0491468760219669</c:v>
                </c:pt>
                <c:pt idx="7">
                  <c:v>1.0280106680501482</c:v>
                </c:pt>
                <c:pt idx="8">
                  <c:v>1.0030024967532234</c:v>
                </c:pt>
                <c:pt idx="9">
                  <c:v>0.97378678577488231</c:v>
                </c:pt>
                <c:pt idx="10">
                  <c:v>0.93992020546455202</c:v>
                </c:pt>
                <c:pt idx="11">
                  <c:v>0.90080673394916388</c:v>
                </c:pt>
                <c:pt idx="12">
                  <c:v>0.855622984320484</c:v>
                </c:pt>
                <c:pt idx="13">
                  <c:v>0.8031858304857028</c:v>
                </c:pt>
                <c:pt idx="14">
                  <c:v>0.7416963496398028</c:v>
                </c:pt>
                <c:pt idx="15">
                  <c:v>0.66817987944848156</c:v>
                </c:pt>
                <c:pt idx="16">
                  <c:v>0.577010906118265</c:v>
                </c:pt>
                <c:pt idx="17">
                  <c:v>0.5502283706345521</c:v>
                </c:pt>
                <c:pt idx="18">
                  <c:v>0.52125679851722428</c:v>
                </c:pt>
                <c:pt idx="19">
                  <c:v>0.48959753268102141</c:v>
                </c:pt>
                <c:pt idx="20">
                  <c:v>0.45451402796680773</c:v>
                </c:pt>
                <c:pt idx="21">
                  <c:v>0.41483277859733303</c:v>
                </c:pt>
                <c:pt idx="22">
                  <c:v>0.36845835370565577</c:v>
                </c:pt>
                <c:pt idx="23">
                  <c:v>0.31084431338696178</c:v>
                </c:pt>
                <c:pt idx="24">
                  <c:v>0.22656976909981871</c:v>
                </c:pt>
                <c:pt idx="25">
                  <c:v>0.10830310356155498</c:v>
                </c:pt>
                <c:pt idx="26">
                  <c:v>0.10830310356155498</c:v>
                </c:pt>
                <c:pt idx="27">
                  <c:v>0.10830310356155498</c:v>
                </c:pt>
                <c:pt idx="28">
                  <c:v>0.10830310356155498</c:v>
                </c:pt>
                <c:pt idx="29">
                  <c:v>0.10830310356155498</c:v>
                </c:pt>
                <c:pt idx="30">
                  <c:v>0.10830310356155498</c:v>
                </c:pt>
                <c:pt idx="31">
                  <c:v>0.10830310356155498</c:v>
                </c:pt>
                <c:pt idx="32">
                  <c:v>0.10830310356155498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B4-42AD-80D8-FD039964683B}"/>
            </c:ext>
          </c:extLst>
        </c:ser>
        <c:ser>
          <c:idx val="10"/>
          <c:order val="6"/>
          <c:tx>
            <c:v>1.02 Cap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'DIGSILENT CAPABILITY TABLES'!$F$38:$AL$38</c:f>
              <c:numCache>
                <c:formatCode>General</c:formatCode>
                <c:ptCount val="33"/>
                <c:pt idx="0">
                  <c:v>1.1296584499987086</c:v>
                </c:pt>
                <c:pt idx="1">
                  <c:v>1.1281701142212506</c:v>
                </c:pt>
                <c:pt idx="2">
                  <c:v>1.1236919608971883</c:v>
                </c:pt>
                <c:pt idx="3">
                  <c:v>1.1161839645493199</c:v>
                </c:pt>
                <c:pt idx="4">
                  <c:v>1.1055773953272432</c:v>
                </c:pt>
                <c:pt idx="5">
                  <c:v>1.0917715573702351</c:v>
                </c:pt>
                <c:pt idx="6">
                  <c:v>1.0746287135310675</c:v>
                </c:pt>
                <c:pt idx="7">
                  <c:v>1.0539665596766485</c:v>
                </c:pt>
                <c:pt idx="8">
                  <c:v>1.0295471977421558</c:v>
                </c:pt>
                <c:pt idx="9">
                  <c:v>1.0010608535566448</c:v>
                </c:pt>
                <c:pt idx="10">
                  <c:v>0.96810132111503522</c:v>
                </c:pt>
                <c:pt idx="11">
                  <c:v>0.93012770280536994</c:v>
                </c:pt>
                <c:pt idx="12">
                  <c:v>0.88640209075240539</c:v>
                </c:pt>
                <c:pt idx="13">
                  <c:v>0.83588192224116442</c:v>
                </c:pt>
                <c:pt idx="14">
                  <c:v>0.77701891287519143</c:v>
                </c:pt>
                <c:pt idx="15">
                  <c:v>0.70734073804637343</c:v>
                </c:pt>
                <c:pt idx="16">
                  <c:v>0.62243154711839255</c:v>
                </c:pt>
                <c:pt idx="17">
                  <c:v>0.59791978446269689</c:v>
                </c:pt>
                <c:pt idx="18">
                  <c:v>0.57169038882139989</c:v>
                </c:pt>
                <c:pt idx="19">
                  <c:v>0.5434297029152394</c:v>
                </c:pt>
                <c:pt idx="20">
                  <c:v>0.51270744683447178</c:v>
                </c:pt>
                <c:pt idx="21">
                  <c:v>0.47890464938929617</c:v>
                </c:pt>
                <c:pt idx="22">
                  <c:v>0.44107140688591545</c:v>
                </c:pt>
                <c:pt idx="23">
                  <c:v>0.39760670944614041</c:v>
                </c:pt>
                <c:pt idx="24">
                  <c:v>0.34537603313105125</c:v>
                </c:pt>
                <c:pt idx="25">
                  <c:v>0.27618407376436666</c:v>
                </c:pt>
                <c:pt idx="26">
                  <c:v>0.11267854894544181</c:v>
                </c:pt>
                <c:pt idx="27">
                  <c:v>0.11267854894544181</c:v>
                </c:pt>
                <c:pt idx="28">
                  <c:v>0.11267854894544181</c:v>
                </c:pt>
                <c:pt idx="29">
                  <c:v>0.11267854894544181</c:v>
                </c:pt>
                <c:pt idx="30">
                  <c:v>0.11267854894544181</c:v>
                </c:pt>
                <c:pt idx="31">
                  <c:v>0.11267854894544181</c:v>
                </c:pt>
                <c:pt idx="32">
                  <c:v>0.11267854894544181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B4-42AD-80D8-FD039964683B}"/>
            </c:ext>
          </c:extLst>
        </c:ser>
        <c:ser>
          <c:idx val="11"/>
          <c:order val="7"/>
          <c:tx>
            <c:v>1.04 Cap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'DIGSILENT CAPABILITY TABLES'!$F$39:$AL$39</c:f>
              <c:numCache>
                <c:formatCode>General</c:formatCode>
                <c:ptCount val="33"/>
                <c:pt idx="0">
                  <c:v>1.1540613202390382</c:v>
                </c:pt>
                <c:pt idx="1">
                  <c:v>1.1526016470479217</c:v>
                </c:pt>
                <c:pt idx="2">
                  <c:v>1.1482102288952858</c:v>
                </c:pt>
                <c:pt idx="3">
                  <c:v>1.1408493374289241</c:v>
                </c:pt>
                <c:pt idx="4">
                  <c:v>1.1304542623587936</c:v>
                </c:pt>
                <c:pt idx="5">
                  <c:v>1.1169303665646029</c:v>
                </c:pt>
                <c:pt idx="6">
                  <c:v>1.1001485227003975</c:v>
                </c:pt>
                <c:pt idx="7">
                  <c:v>1.0799383848976347</c:v>
                </c:pt>
                <c:pt idx="8">
                  <c:v>1.0560786026642499</c:v>
                </c:pt>
                <c:pt idx="9">
                  <c:v>1.028282504864803</c:v>
                </c:pt>
                <c:pt idx="10">
                  <c:v>0.99617675877670042</c:v>
                </c:pt>
                <c:pt idx="11">
                  <c:v>0.95926859841802981</c:v>
                </c:pt>
                <c:pt idx="12">
                  <c:v>0.91689341343657149</c:v>
                </c:pt>
                <c:pt idx="13">
                  <c:v>0.86812632490378661</c:v>
                </c:pt>
                <c:pt idx="14">
                  <c:v>0.81162210072495022</c:v>
                </c:pt>
                <c:pt idx="15">
                  <c:v>0.74529627335333559</c:v>
                </c:pt>
                <c:pt idx="16">
                  <c:v>0.66559711067170613</c:v>
                </c:pt>
                <c:pt idx="17">
                  <c:v>0.64289289902169722</c:v>
                </c:pt>
                <c:pt idx="18">
                  <c:v>0.61878618270930552</c:v>
                </c:pt>
                <c:pt idx="19">
                  <c:v>0.59306388820721878</c:v>
                </c:pt>
                <c:pt idx="20">
                  <c:v>0.56544801319408289</c:v>
                </c:pt>
                <c:pt idx="21">
                  <c:v>0.53556379728304293</c:v>
                </c:pt>
                <c:pt idx="22">
                  <c:v>0.50288440373320942</c:v>
                </c:pt>
                <c:pt idx="23">
                  <c:v>0.46662660393879501</c:v>
                </c:pt>
                <c:pt idx="24">
                  <c:v>0.42553081778171997</c:v>
                </c:pt>
                <c:pt idx="25">
                  <c:v>0.3773145040979356</c:v>
                </c:pt>
                <c:pt idx="26">
                  <c:v>0.31688610914741439</c:v>
                </c:pt>
                <c:pt idx="27">
                  <c:v>0.22543625638391684</c:v>
                </c:pt>
                <c:pt idx="28">
                  <c:v>0.1171406368121779</c:v>
                </c:pt>
                <c:pt idx="29">
                  <c:v>0.1171406368121779</c:v>
                </c:pt>
                <c:pt idx="30">
                  <c:v>0.1171406368121779</c:v>
                </c:pt>
                <c:pt idx="31">
                  <c:v>0.1171406368121779</c:v>
                </c:pt>
                <c:pt idx="32">
                  <c:v>0.1171406368121779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FB4-42AD-80D8-FD039964683B}"/>
            </c:ext>
          </c:extLst>
        </c:ser>
        <c:ser>
          <c:idx val="12"/>
          <c:order val="8"/>
          <c:tx>
            <c:v>1.06 Cap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'DIGSILENT CAPABILITY TABLES'!$F$40:$AL$40</c:f>
              <c:numCache>
                <c:formatCode>General</c:formatCode>
                <c:ptCount val="33"/>
                <c:pt idx="0">
                  <c:v>1.178550832962217</c:v>
                </c:pt>
                <c:pt idx="1">
                  <c:v>1.1771187385049544</c:v>
                </c:pt>
                <c:pt idx="2">
                  <c:v>1.1728107483037717</c:v>
                </c:pt>
                <c:pt idx="3">
                  <c:v>1.1655912580949506</c:v>
                </c:pt>
                <c:pt idx="4">
                  <c:v>1.1553992674209626</c:v>
                </c:pt>
                <c:pt idx="5">
                  <c:v>1.1421457150247591</c:v>
                </c:pt>
                <c:pt idx="6">
                  <c:v>1.1257093659137223</c:v>
                </c:pt>
                <c:pt idx="7">
                  <c:v>1.1059307795672175</c:v>
                </c:pt>
                <c:pt idx="8">
                  <c:v>1.0826035974101678</c:v>
                </c:pt>
                <c:pt idx="9">
                  <c:v>1.0554619079305971</c:v>
                </c:pt>
                <c:pt idx="10">
                  <c:v>1.0241616148757211</c:v>
                </c:pt>
                <c:pt idx="11">
                  <c:v>0.98825220844558115</c:v>
                </c:pt>
                <c:pt idx="12">
                  <c:v>0.94713237421548102</c:v>
                </c:pt>
                <c:pt idx="13">
                  <c:v>0.89997669064447539</c:v>
                </c:pt>
                <c:pt idx="14">
                  <c:v>0.84560659854521636</c:v>
                </c:pt>
                <c:pt idx="15">
                  <c:v>0.78224304241751696</c:v>
                </c:pt>
                <c:pt idx="16">
                  <c:v>0.70697233965787476</c:v>
                </c:pt>
                <c:pt idx="17">
                  <c:v>0.68575239147188749</c:v>
                </c:pt>
                <c:pt idx="18">
                  <c:v>0.66335338469835747</c:v>
                </c:pt>
                <c:pt idx="19">
                  <c:v>0.63962236996606792</c:v>
                </c:pt>
                <c:pt idx="20">
                  <c:v>0.61436690662736915</c:v>
                </c:pt>
                <c:pt idx="21">
                  <c:v>0.58733901592559912</c:v>
                </c:pt>
                <c:pt idx="22">
                  <c:v>0.55820959337571974</c:v>
                </c:pt>
                <c:pt idx="23">
                  <c:v>0.52652525415040885</c:v>
                </c:pt>
                <c:pt idx="24">
                  <c:v>0.49163011632827991</c:v>
                </c:pt>
                <c:pt idx="25">
                  <c:v>0.45250970419363878</c:v>
                </c:pt>
                <c:pt idx="26">
                  <c:v>0.40743384723772802</c:v>
                </c:pt>
                <c:pt idx="27">
                  <c:v>0.35294592467718483</c:v>
                </c:pt>
                <c:pt idx="28">
                  <c:v>0.27958540224144313</c:v>
                </c:pt>
                <c:pt idx="29">
                  <c:v>0.12168936716176319</c:v>
                </c:pt>
                <c:pt idx="30">
                  <c:v>0.12168936716176319</c:v>
                </c:pt>
                <c:pt idx="31">
                  <c:v>0.12168936716176319</c:v>
                </c:pt>
                <c:pt idx="32">
                  <c:v>0.12168936716176319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FB4-42AD-80D8-FD039964683B}"/>
            </c:ext>
          </c:extLst>
        </c:ser>
        <c:ser>
          <c:idx val="13"/>
          <c:order val="9"/>
          <c:tx>
            <c:v>1.08 Cap</c:v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'DIGSILENT CAPABILITY TABLES'!$F$41:$AL$41</c:f>
              <c:numCache>
                <c:formatCode>General</c:formatCode>
                <c:ptCount val="33"/>
                <c:pt idx="0">
                  <c:v>1.2031269881682447</c:v>
                </c:pt>
                <c:pt idx="1">
                  <c:v>1.2017214489684638</c:v>
                </c:pt>
                <c:pt idx="2">
                  <c:v>1.1974937657192146</c:v>
                </c:pt>
                <c:pt idx="3">
                  <c:v>1.1904103012498151</c:v>
                </c:pt>
                <c:pt idx="4">
                  <c:v>1.1804134846797114</c:v>
                </c:pt>
                <c:pt idx="5">
                  <c:v>1.1674193954759566</c:v>
                </c:pt>
                <c:pt idx="6">
                  <c:v>1.1513140480714488</c:v>
                </c:pt>
                <c:pt idx="7">
                  <c:v>1.1319479704700466</c:v>
                </c:pt>
                <c:pt idx="8">
                  <c:v>1.1091284241919535</c:v>
                </c:pt>
                <c:pt idx="9">
                  <c:v>1.0826082134855481</c:v>
                </c:pt>
                <c:pt idx="10">
                  <c:v>1.0520693493075235</c:v>
                </c:pt>
                <c:pt idx="11">
                  <c:v>1.0170986067374259</c:v>
                </c:pt>
                <c:pt idx="12">
                  <c:v>0.97714968184339068</c:v>
                </c:pt>
                <c:pt idx="13">
                  <c:v>0.9314819182349946</c:v>
                </c:pt>
                <c:pt idx="14">
                  <c:v>0.8790551576555824</c:v>
                </c:pt>
                <c:pt idx="15">
                  <c:v>0.81833491453838936</c:v>
                </c:pt>
                <c:pt idx="16">
                  <c:v>0.74689148231341251</c:v>
                </c:pt>
                <c:pt idx="17">
                  <c:v>0.72691946122697915</c:v>
                </c:pt>
                <c:pt idx="18">
                  <c:v>0.70593394598792802</c:v>
                </c:pt>
                <c:pt idx="19">
                  <c:v>0.68382049708359705</c:v>
                </c:pt>
                <c:pt idx="20">
                  <c:v>0.66043903644457569</c:v>
                </c:pt>
                <c:pt idx="21">
                  <c:v>0.63561495114367816</c:v>
                </c:pt>
                <c:pt idx="22">
                  <c:v>0.60912576699464061</c:v>
                </c:pt>
                <c:pt idx="23">
                  <c:v>0.58068034871129304</c:v>
                </c:pt>
                <c:pt idx="24">
                  <c:v>0.54988474952375932</c:v>
                </c:pt>
                <c:pt idx="25">
                  <c:v>0.51618243091831217</c:v>
                </c:pt>
                <c:pt idx="26">
                  <c:v>0.47874044860078352</c:v>
                </c:pt>
                <c:pt idx="27">
                  <c:v>0.43620619986664977</c:v>
                </c:pt>
                <c:pt idx="28">
                  <c:v>0.38609017586410332</c:v>
                </c:pt>
                <c:pt idx="29">
                  <c:v>0.32267014781592968</c:v>
                </c:pt>
                <c:pt idx="30">
                  <c:v>0.22248518754246049</c:v>
                </c:pt>
                <c:pt idx="31">
                  <c:v>0.12632473999419774</c:v>
                </c:pt>
                <c:pt idx="32">
                  <c:v>0.12632473999419774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FB4-42AD-80D8-FD039964683B}"/>
            </c:ext>
          </c:extLst>
        </c:ser>
        <c:ser>
          <c:idx val="2"/>
          <c:order val="10"/>
          <c:tx>
            <c:v>1.1 Cap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'DIGSILENT CAPABILITY TABLES'!$F$42:$AL$42</c:f>
              <c:numCache>
                <c:formatCode>General</c:formatCode>
                <c:ptCount val="33"/>
                <c:pt idx="0">
                  <c:v>1.2277897858571221</c:v>
                </c:pt>
                <c:pt idx="1">
                  <c:v>1.2264098344092029</c:v>
                </c:pt>
                <c:pt idx="2">
                  <c:v>1.2222595095672493</c:v>
                </c:pt>
                <c:pt idx="3">
                  <c:v>1.2153069985420843</c:v>
                </c:pt>
                <c:pt idx="4">
                  <c:v>1.2054979059230511</c:v>
                </c:pt>
                <c:pt idx="5">
                  <c:v>1.1927530588863338</c:v>
                </c:pt>
                <c:pt idx="6">
                  <c:v>1.1769651436433053</c:v>
                </c:pt>
                <c:pt idx="7">
                  <c:v>1.1579938206710918</c:v>
                </c:pt>
                <c:pt idx="8">
                  <c:v>1.1356587575545389</c:v>
                </c:pt>
                <c:pt idx="9">
                  <c:v>1.1097296840738606</c:v>
                </c:pt>
                <c:pt idx="10">
                  <c:v>1.0799120118421586</c:v>
                </c:pt>
                <c:pt idx="11">
                  <c:v>1.0458255674027781</c:v>
                </c:pt>
                <c:pt idx="12">
                  <c:v>1.0069721374367626</c:v>
                </c:pt>
                <c:pt idx="13">
                  <c:v>0.9626838606954925</c:v>
                </c:pt>
                <c:pt idx="14">
                  <c:v>0.91203668805818416</c:v>
                </c:pt>
                <c:pt idx="15">
                  <c:v>0.85369485435549908</c:v>
                </c:pt>
                <c:pt idx="16">
                  <c:v>0.785604067586125</c:v>
                </c:pt>
                <c:pt idx="17">
                  <c:v>0.76670091643392746</c:v>
                </c:pt>
                <c:pt idx="18">
                  <c:v>0.74691120878510076</c:v>
                </c:pt>
                <c:pt idx="19">
                  <c:v>0.72614650539750092</c:v>
                </c:pt>
                <c:pt idx="20">
                  <c:v>0.70430086567836747</c:v>
                </c:pt>
                <c:pt idx="21">
                  <c:v>0.68124554897848166</c:v>
                </c:pt>
                <c:pt idx="22">
                  <c:v>0.65682144569959822</c:v>
                </c:pt>
                <c:pt idx="23">
                  <c:v>0.63082791997540089</c:v>
                </c:pt>
                <c:pt idx="24">
                  <c:v>0.60300573133899071</c:v>
                </c:pt>
                <c:pt idx="25">
                  <c:v>0.5730096638830664</c:v>
                </c:pt>
                <c:pt idx="26">
                  <c:v>0.5403620678190707</c:v>
                </c:pt>
                <c:pt idx="27">
                  <c:v>0.50436794752179437</c:v>
                </c:pt>
                <c:pt idx="28">
                  <c:v>0.46394354870770987</c:v>
                </c:pt>
                <c:pt idx="29">
                  <c:v>0.41721753046799215</c:v>
                </c:pt>
                <c:pt idx="30">
                  <c:v>0.36036972636738235</c:v>
                </c:pt>
                <c:pt idx="31">
                  <c:v>0.28239474028061534</c:v>
                </c:pt>
                <c:pt idx="32">
                  <c:v>0.13104675530948151</c:v>
                </c:pt>
              </c:numCache>
            </c:numRef>
          </c:xVal>
          <c:yVal>
            <c:numRef>
              <c:f>'DIGSILENT CAPABILITY TABLES'!$F$3:$AL$3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FB4-42AD-80D8-FD039964683B}"/>
            </c:ext>
          </c:extLst>
        </c:ser>
        <c:ser>
          <c:idx val="3"/>
          <c:order val="11"/>
          <c:tx>
            <c:v>0.9 Ind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'DIGSILENT CAPABILITY TABLES'!$F$45:$AL$45</c:f>
              <c:numCache>
                <c:formatCode>General</c:formatCode>
                <c:ptCount val="33"/>
                <c:pt idx="0">
                  <c:v>-0.80960969292684626</c:v>
                </c:pt>
                <c:pt idx="1">
                  <c:v>-0.80792256063091072</c:v>
                </c:pt>
                <c:pt idx="2">
                  <c:v>-0.80284198686048369</c:v>
                </c:pt>
                <c:pt idx="3">
                  <c:v>-0.79430933428374151</c:v>
                </c:pt>
                <c:pt idx="4">
                  <c:v>-0.78222303251533254</c:v>
                </c:pt>
                <c:pt idx="5">
                  <c:v>-0.76643224284618316</c:v>
                </c:pt>
                <c:pt idx="6">
                  <c:v>-0.7467266856950846</c:v>
                </c:pt>
                <c:pt idx="7">
                  <c:v>-0.72282089032887031</c:v>
                </c:pt>
                <c:pt idx="8">
                  <c:v>-0.69432977404803786</c:v>
                </c:pt>
                <c:pt idx="9">
                  <c:v>-0.66072987782783776</c:v>
                </c:pt>
                <c:pt idx="10">
                  <c:v>-0.62129527098946791</c:v>
                </c:pt>
                <c:pt idx="11">
                  <c:v>-0.5749851872387961</c:v>
                </c:pt>
                <c:pt idx="12">
                  <c:v>-0.52023046592273081</c:v>
                </c:pt>
                <c:pt idx="13">
                  <c:v>-0.45447875886094552</c:v>
                </c:pt>
                <c:pt idx="14">
                  <c:v>-0.37304609264467403</c:v>
                </c:pt>
                <c:pt idx="15">
                  <c:v>-0.26524116072310877</c:v>
                </c:pt>
                <c:pt idx="16">
                  <c:v>-8.7803610148183553E-2</c:v>
                </c:pt>
                <c:pt idx="17">
                  <c:v>7.5918075946382439E-3</c:v>
                </c:pt>
                <c:pt idx="18">
                  <c:v>8.7725513884859524E-2</c:v>
                </c:pt>
                <c:pt idx="19">
                  <c:v>8.7725513884859524E-2</c:v>
                </c:pt>
                <c:pt idx="20">
                  <c:v>8.7725513884859524E-2</c:v>
                </c:pt>
                <c:pt idx="21">
                  <c:v>8.7725513884859524E-2</c:v>
                </c:pt>
                <c:pt idx="22">
                  <c:v>8.7725513884859524E-2</c:v>
                </c:pt>
                <c:pt idx="23">
                  <c:v>8.7725513884859524E-2</c:v>
                </c:pt>
                <c:pt idx="24">
                  <c:v>8.7725513884859524E-2</c:v>
                </c:pt>
                <c:pt idx="25">
                  <c:v>8.7725513884859524E-2</c:v>
                </c:pt>
                <c:pt idx="26">
                  <c:v>8.7725513884859524E-2</c:v>
                </c:pt>
                <c:pt idx="27">
                  <c:v>8.7725513884859524E-2</c:v>
                </c:pt>
                <c:pt idx="28">
                  <c:v>8.7725513884859524E-2</c:v>
                </c:pt>
                <c:pt idx="29">
                  <c:v>8.7725513884859524E-2</c:v>
                </c:pt>
                <c:pt idx="30">
                  <c:v>8.7725513884859524E-2</c:v>
                </c:pt>
                <c:pt idx="31">
                  <c:v>8.7725513884859524E-2</c:v>
                </c:pt>
                <c:pt idx="32">
                  <c:v>8.7725513884859524E-2</c:v>
                </c:pt>
              </c:numCache>
            </c:numRef>
          </c:xVal>
          <c:yVal>
            <c:numRef>
              <c:f>'DIGSILENT CAPABILITY TABLES'!$F$16:$AL$16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FB4-42AD-80D8-FD039964683B}"/>
            </c:ext>
          </c:extLst>
        </c:ser>
        <c:ser>
          <c:idx val="14"/>
          <c:order val="12"/>
          <c:tx>
            <c:v>0.92 Ind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'DIGSILENT CAPABILITY TABLES'!$F$46:$AL$46</c:f>
              <c:numCache>
                <c:formatCode>General</c:formatCode>
                <c:ptCount val="33"/>
                <c:pt idx="0">
                  <c:v>-0.82560824233079921</c:v>
                </c:pt>
                <c:pt idx="1">
                  <c:v>-0.82395785367000984</c:v>
                </c:pt>
                <c:pt idx="2">
                  <c:v>-0.81898874180402226</c:v>
                </c:pt>
                <c:pt idx="3">
                  <c:v>-0.81064607900425811</c:v>
                </c:pt>
                <c:pt idx="4">
                  <c:v>-0.79883505512641984</c:v>
                </c:pt>
                <c:pt idx="5">
                  <c:v>-0.7834152436874654</c:v>
                </c:pt>
                <c:pt idx="6">
                  <c:v>-0.76419161094669241</c:v>
                </c:pt>
                <c:pt idx="7">
                  <c:v>-0.74090071299482041</c:v>
                </c:pt>
                <c:pt idx="8">
                  <c:v>-0.71318953262793694</c:v>
                </c:pt>
                <c:pt idx="9">
                  <c:v>-0.68058236828687657</c:v>
                </c:pt>
                <c:pt idx="10">
                  <c:v>-0.64242709738285697</c:v>
                </c:pt>
                <c:pt idx="11">
                  <c:v>-0.59780323900050281</c:v>
                </c:pt>
                <c:pt idx="12">
                  <c:v>-0.545352849622466</c:v>
                </c:pt>
                <c:pt idx="13">
                  <c:v>-0.48293667388716965</c:v>
                </c:pt>
                <c:pt idx="14">
                  <c:v>-0.40682522233951951</c:v>
                </c:pt>
                <c:pt idx="15">
                  <c:v>-0.30929389761522952</c:v>
                </c:pt>
                <c:pt idx="16">
                  <c:v>-0.167166640999722</c:v>
                </c:pt>
                <c:pt idx="17">
                  <c:v>-0.11474489286475235</c:v>
                </c:pt>
                <c:pt idx="18">
                  <c:v>-4.18949363166237E-2</c:v>
                </c:pt>
                <c:pt idx="19">
                  <c:v>9.1667746854500132E-2</c:v>
                </c:pt>
                <c:pt idx="20">
                  <c:v>9.1667746854500132E-2</c:v>
                </c:pt>
                <c:pt idx="21">
                  <c:v>9.1667746854500132E-2</c:v>
                </c:pt>
                <c:pt idx="22">
                  <c:v>9.1667746854500132E-2</c:v>
                </c:pt>
                <c:pt idx="23">
                  <c:v>9.1667746854500132E-2</c:v>
                </c:pt>
                <c:pt idx="24">
                  <c:v>9.1667746854500132E-2</c:v>
                </c:pt>
                <c:pt idx="25">
                  <c:v>9.1667746854500132E-2</c:v>
                </c:pt>
                <c:pt idx="26">
                  <c:v>9.1667746854500132E-2</c:v>
                </c:pt>
                <c:pt idx="27">
                  <c:v>9.1667746854500132E-2</c:v>
                </c:pt>
                <c:pt idx="28">
                  <c:v>9.1667746854500132E-2</c:v>
                </c:pt>
                <c:pt idx="29">
                  <c:v>9.1667746854500132E-2</c:v>
                </c:pt>
                <c:pt idx="30">
                  <c:v>9.1667746854500132E-2</c:v>
                </c:pt>
                <c:pt idx="31">
                  <c:v>9.1667746854500132E-2</c:v>
                </c:pt>
                <c:pt idx="32">
                  <c:v>9.1667746854500132E-2</c:v>
                </c:pt>
              </c:numCache>
            </c:numRef>
          </c:xVal>
          <c:yVal>
            <c:numRef>
              <c:f>'DIGSILENT CAPABILITY TABLES'!$F$16:$AL$16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FB4-42AD-80D8-FD039964683B}"/>
            </c:ext>
          </c:extLst>
        </c:ser>
        <c:ser>
          <c:idx val="15"/>
          <c:order val="13"/>
          <c:tx>
            <c:v>0.94 Ind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'DIGSILENT CAPABILITY TABLES'!$F$47:$AL$47</c:f>
              <c:numCache>
                <c:formatCode>General</c:formatCode>
                <c:ptCount val="33"/>
                <c:pt idx="0">
                  <c:v>-0.84152014925190288</c:v>
                </c:pt>
                <c:pt idx="1">
                  <c:v>-0.8399049365262955</c:v>
                </c:pt>
                <c:pt idx="2">
                  <c:v>-0.83504248017623217</c:v>
                </c:pt>
                <c:pt idx="3">
                  <c:v>-0.82688143774607348</c:v>
                </c:pt>
                <c:pt idx="4">
                  <c:v>-0.81533316693772728</c:v>
                </c:pt>
                <c:pt idx="5">
                  <c:v>-0.80026670110043263</c:v>
                </c:pt>
                <c:pt idx="6">
                  <c:v>-0.78150077673798779</c:v>
                </c:pt>
                <c:pt idx="7">
                  <c:v>-0.75879169059803386</c:v>
                </c:pt>
                <c:pt idx="8">
                  <c:v>-0.73181487422419034</c:v>
                </c:pt>
                <c:pt idx="9">
                  <c:v>-0.70013644868922964</c:v>
                </c:pt>
                <c:pt idx="10">
                  <c:v>-0.66316784312229493</c:v>
                </c:pt>
                <c:pt idx="11">
                  <c:v>-0.62008985206317724</c:v>
                </c:pt>
                <c:pt idx="12">
                  <c:v>-0.56971699108792262</c:v>
                </c:pt>
                <c:pt idx="13">
                  <c:v>-0.51023264492745735</c:v>
                </c:pt>
                <c:pt idx="14">
                  <c:v>-0.4386022424599812</c:v>
                </c:pt>
                <c:pt idx="15">
                  <c:v>-0.3489945929101248</c:v>
                </c:pt>
                <c:pt idx="16">
                  <c:v>-0.22675535379375339</c:v>
                </c:pt>
                <c:pt idx="17">
                  <c:v>-0.18641366533115053</c:v>
                </c:pt>
                <c:pt idx="18">
                  <c:v>-0.13843801180610832</c:v>
                </c:pt>
                <c:pt idx="19">
                  <c:v>-7.6563977922064583E-2</c:v>
                </c:pt>
                <c:pt idx="20">
                  <c:v>3.1273979616130272E-2</c:v>
                </c:pt>
                <c:pt idx="21">
                  <c:v>9.569662230698997E-2</c:v>
                </c:pt>
                <c:pt idx="22">
                  <c:v>9.569662230698997E-2</c:v>
                </c:pt>
                <c:pt idx="23">
                  <c:v>9.569662230698997E-2</c:v>
                </c:pt>
                <c:pt idx="24">
                  <c:v>9.569662230698997E-2</c:v>
                </c:pt>
                <c:pt idx="25">
                  <c:v>9.569662230698997E-2</c:v>
                </c:pt>
                <c:pt idx="26">
                  <c:v>9.569662230698997E-2</c:v>
                </c:pt>
                <c:pt idx="27">
                  <c:v>9.569662230698997E-2</c:v>
                </c:pt>
                <c:pt idx="28">
                  <c:v>9.569662230698997E-2</c:v>
                </c:pt>
                <c:pt idx="29">
                  <c:v>9.569662230698997E-2</c:v>
                </c:pt>
                <c:pt idx="30">
                  <c:v>9.569662230698997E-2</c:v>
                </c:pt>
                <c:pt idx="31">
                  <c:v>9.569662230698997E-2</c:v>
                </c:pt>
                <c:pt idx="32">
                  <c:v>9.569662230698997E-2</c:v>
                </c:pt>
              </c:numCache>
            </c:numRef>
          </c:xVal>
          <c:yVal>
            <c:numRef>
              <c:f>'DIGSILENT CAPABILITY TABLES'!$F$16:$AL$16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FB4-42AD-80D8-FD039964683B}"/>
            </c:ext>
          </c:extLst>
        </c:ser>
        <c:ser>
          <c:idx val="16"/>
          <c:order val="14"/>
          <c:tx>
            <c:v>0.96 Ind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'DIGSILENT CAPABILITY TABLES'!$F$48:$AL$48</c:f>
              <c:numCache>
                <c:formatCode>General</c:formatCode>
                <c:ptCount val="33"/>
                <c:pt idx="0">
                  <c:v>-0.85734541369015715</c:v>
                </c:pt>
                <c:pt idx="1">
                  <c:v>-0.85576390751630982</c:v>
                </c:pt>
                <c:pt idx="2">
                  <c:v>-0.85100360586730506</c:v>
                </c:pt>
                <c:pt idx="3">
                  <c:v>-0.84301636115653111</c:v>
                </c:pt>
                <c:pt idx="4">
                  <c:v>-0.83171917058410805</c:v>
                </c:pt>
                <c:pt idx="5">
                  <c:v>-0.81698968297249219</c:v>
                </c:pt>
                <c:pt idx="6">
                  <c:v>-0.79865910751689673</c:v>
                </c:pt>
                <c:pt idx="7">
                  <c:v>-0.77650149256844747</c:v>
                </c:pt>
                <c:pt idx="8">
                  <c:v>-0.75021761397220454</c:v>
                </c:pt>
                <c:pt idx="9">
                  <c:v>-0.719410407695666</c:v>
                </c:pt>
                <c:pt idx="10">
                  <c:v>-0.68354638754046126</c:v>
                </c:pt>
                <c:pt idx="11">
                  <c:v>-0.64189237170971536</c:v>
                </c:pt>
                <c:pt idx="12">
                  <c:v>-0.59340541799607904</c:v>
                </c:pt>
                <c:pt idx="13">
                  <c:v>-0.53652549266179261</c:v>
                </c:pt>
                <c:pt idx="14">
                  <c:v>-0.46873916179647618</c:v>
                </c:pt>
                <c:pt idx="15">
                  <c:v>-0.38549764025876559</c:v>
                </c:pt>
                <c:pt idx="16">
                  <c:v>-0.27668564600617029</c:v>
                </c:pt>
                <c:pt idx="17">
                  <c:v>-0.24276853719003982</c:v>
                </c:pt>
                <c:pt idx="18">
                  <c:v>-0.20448102933270562</c:v>
                </c:pt>
                <c:pt idx="19">
                  <c:v>-0.1598973523643536</c:v>
                </c:pt>
                <c:pt idx="20">
                  <c:v>-0.10494523581533724</c:v>
                </c:pt>
                <c:pt idx="21">
                  <c:v>-2.6773880115452342E-2</c:v>
                </c:pt>
                <c:pt idx="22">
                  <c:v>9.9812140242329039E-2</c:v>
                </c:pt>
                <c:pt idx="23">
                  <c:v>9.9812140242329039E-2</c:v>
                </c:pt>
                <c:pt idx="24">
                  <c:v>9.9812140242329039E-2</c:v>
                </c:pt>
                <c:pt idx="25">
                  <c:v>9.9812140242329039E-2</c:v>
                </c:pt>
                <c:pt idx="26">
                  <c:v>9.9812140242329039E-2</c:v>
                </c:pt>
                <c:pt idx="27">
                  <c:v>9.9812140242329039E-2</c:v>
                </c:pt>
                <c:pt idx="28">
                  <c:v>9.9812140242329039E-2</c:v>
                </c:pt>
                <c:pt idx="29">
                  <c:v>9.9812140242329039E-2</c:v>
                </c:pt>
                <c:pt idx="30">
                  <c:v>9.9812140242329039E-2</c:v>
                </c:pt>
                <c:pt idx="31">
                  <c:v>9.9812140242329039E-2</c:v>
                </c:pt>
                <c:pt idx="32">
                  <c:v>9.9812140242329039E-2</c:v>
                </c:pt>
              </c:numCache>
            </c:numRef>
          </c:xVal>
          <c:yVal>
            <c:numRef>
              <c:f>'DIGSILENT CAPABILITY TABLES'!$F$16:$AL$16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FB4-42AD-80D8-FD039964683B}"/>
            </c:ext>
          </c:extLst>
        </c:ser>
        <c:ser>
          <c:idx val="17"/>
          <c:order val="15"/>
          <c:tx>
            <c:v>0.98 ind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'DIGSILENT CAPABILITY TABLES'!$F$49:$AL$49</c:f>
              <c:numCache>
                <c:formatCode>General</c:formatCode>
                <c:ptCount val="33"/>
                <c:pt idx="0">
                  <c:v>-0.87308403564556236</c:v>
                </c:pt>
                <c:pt idx="1">
                  <c:v>-0.87153485689747523</c:v>
                </c:pt>
                <c:pt idx="2">
                  <c:v>-0.86687248924452043</c:v>
                </c:pt>
                <c:pt idx="3">
                  <c:v>-0.85905171930494129</c:v>
                </c:pt>
                <c:pt idx="4">
                  <c:v>-0.84799471127797732</c:v>
                </c:pt>
                <c:pt idx="5">
                  <c:v>-0.83358697856861708</c:v>
                </c:pt>
                <c:pt idx="6">
                  <c:v>-0.8156710579334473</c:v>
                </c:pt>
                <c:pt idx="7">
                  <c:v>-0.79403701124326764</c:v>
                </c:pt>
                <c:pt idx="8">
                  <c:v>-0.76840827975112513</c:v>
                </c:pt>
                <c:pt idx="9">
                  <c:v>-0.73842036078932416</c:v>
                </c:pt>
                <c:pt idx="10">
                  <c:v>-0.70358780360377271</c:v>
                </c:pt>
                <c:pt idx="11">
                  <c:v>-0.66325107638454994</c:v>
                </c:pt>
                <c:pt idx="12">
                  <c:v>-0.6164863300207537</c:v>
                </c:pt>
                <c:pt idx="13">
                  <c:v>-0.56194077200738357</c:v>
                </c:pt>
                <c:pt idx="14">
                  <c:v>-0.49750141718242424</c:v>
                </c:pt>
                <c:pt idx="15">
                  <c:v>-0.41952763539819932</c:v>
                </c:pt>
                <c:pt idx="16">
                  <c:v>-0.32062808866502968</c:v>
                </c:pt>
                <c:pt idx="17">
                  <c:v>-0.29086808222343635</c:v>
                </c:pt>
                <c:pt idx="18">
                  <c:v>-0.25815266195770598</c:v>
                </c:pt>
                <c:pt idx="19">
                  <c:v>-0.22159220466778418</c:v>
                </c:pt>
                <c:pt idx="20">
                  <c:v>-0.17970414923675193</c:v>
                </c:pt>
                <c:pt idx="21">
                  <c:v>-0.12964056513968245</c:v>
                </c:pt>
                <c:pt idx="22">
                  <c:v>-6.4256043762108403E-2</c:v>
                </c:pt>
                <c:pt idx="23">
                  <c:v>6.3306852790265364E-2</c:v>
                </c:pt>
                <c:pt idx="24">
                  <c:v>0.10401430066051739</c:v>
                </c:pt>
                <c:pt idx="25">
                  <c:v>0.10401430066051739</c:v>
                </c:pt>
                <c:pt idx="26">
                  <c:v>0.10401430066051739</c:v>
                </c:pt>
                <c:pt idx="27">
                  <c:v>0.10401430066051739</c:v>
                </c:pt>
                <c:pt idx="28">
                  <c:v>0.10401430066051739</c:v>
                </c:pt>
                <c:pt idx="29">
                  <c:v>0.10401430066051739</c:v>
                </c:pt>
                <c:pt idx="30">
                  <c:v>0.10401430066051739</c:v>
                </c:pt>
                <c:pt idx="31">
                  <c:v>0.10401430066051739</c:v>
                </c:pt>
                <c:pt idx="32">
                  <c:v>0.10401430066051739</c:v>
                </c:pt>
              </c:numCache>
            </c:numRef>
          </c:xVal>
          <c:yVal>
            <c:numRef>
              <c:f>'DIGSILENT CAPABILITY TABLES'!$F$16:$AL$16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FB4-42AD-80D8-FD039964683B}"/>
            </c:ext>
          </c:extLst>
        </c:ser>
        <c:ser>
          <c:idx val="18"/>
          <c:order val="16"/>
          <c:tx>
            <c:v>1 Ind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'DIGSILENT CAPABILITY TABLES'!$F$50:$AL$50</c:f>
              <c:numCache>
                <c:formatCode>General</c:formatCode>
                <c:ptCount val="33"/>
                <c:pt idx="0">
                  <c:v>-0.88873601511811828</c:v>
                </c:pt>
                <c:pt idx="1">
                  <c:v>-0.8872178676778959</c:v>
                </c:pt>
                <c:pt idx="2">
                  <c:v>-0.8826494705697906</c:v>
                </c:pt>
                <c:pt idx="3">
                  <c:v>-0.874988310098475</c:v>
                </c:pt>
                <c:pt idx="4">
                  <c:v>-0.864161293821475</c:v>
                </c:pt>
                <c:pt idx="5">
                  <c:v>-0.85006113000391992</c:v>
                </c:pt>
                <c:pt idx="6">
                  <c:v>-0.83254066889885714</c:v>
                </c:pt>
                <c:pt idx="7">
                  <c:v>-0.81140446092703822</c:v>
                </c:pt>
                <c:pt idx="8">
                  <c:v>-0.78639628963011354</c:v>
                </c:pt>
                <c:pt idx="9">
                  <c:v>-0.75718057865177246</c:v>
                </c:pt>
                <c:pt idx="10">
                  <c:v>-0.72331399834144217</c:v>
                </c:pt>
                <c:pt idx="11">
                  <c:v>-0.68420052682605403</c:v>
                </c:pt>
                <c:pt idx="12">
                  <c:v>-0.63901677719737404</c:v>
                </c:pt>
                <c:pt idx="13">
                  <c:v>-0.58657962336259284</c:v>
                </c:pt>
                <c:pt idx="14">
                  <c:v>-0.52509014251669295</c:v>
                </c:pt>
                <c:pt idx="15">
                  <c:v>-0.45157367232537182</c:v>
                </c:pt>
                <c:pt idx="16">
                  <c:v>-0.36040469899515515</c:v>
                </c:pt>
                <c:pt idx="17">
                  <c:v>-0.33362216351144242</c:v>
                </c:pt>
                <c:pt idx="18">
                  <c:v>-0.30465059139411454</c:v>
                </c:pt>
                <c:pt idx="19">
                  <c:v>-0.27299132555791156</c:v>
                </c:pt>
                <c:pt idx="20">
                  <c:v>-0.2379078208436981</c:v>
                </c:pt>
                <c:pt idx="21">
                  <c:v>-0.19822657147422357</c:v>
                </c:pt>
                <c:pt idx="22">
                  <c:v>-0.15185214658254587</c:v>
                </c:pt>
                <c:pt idx="23">
                  <c:v>-9.4238106263852789E-2</c:v>
                </c:pt>
                <c:pt idx="24">
                  <c:v>-9.9635619767104496E-3</c:v>
                </c:pt>
                <c:pt idx="25">
                  <c:v>0.10830310356155498</c:v>
                </c:pt>
                <c:pt idx="26">
                  <c:v>0.10830310356155498</c:v>
                </c:pt>
                <c:pt idx="27">
                  <c:v>0.10830310356155498</c:v>
                </c:pt>
                <c:pt idx="28">
                  <c:v>0.10830310356155498</c:v>
                </c:pt>
                <c:pt idx="29">
                  <c:v>0.10830310356155498</c:v>
                </c:pt>
                <c:pt idx="30">
                  <c:v>0.10830310356155498</c:v>
                </c:pt>
                <c:pt idx="31">
                  <c:v>0.10830310356155498</c:v>
                </c:pt>
                <c:pt idx="32">
                  <c:v>0.10830310356155498</c:v>
                </c:pt>
              </c:numCache>
            </c:numRef>
          </c:xVal>
          <c:yVal>
            <c:numRef>
              <c:f>'DIGSILENT CAPABILITY TABLES'!$F$16:$AL$16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FB4-42AD-80D8-FD039964683B}"/>
            </c:ext>
          </c:extLst>
        </c:ser>
        <c:ser>
          <c:idx val="19"/>
          <c:order val="17"/>
          <c:tx>
            <c:v>1.02 Ind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'DIGSILENT CAPABILITY TABLES'!$F$51:$AL$51</c:f>
              <c:numCache>
                <c:formatCode>General</c:formatCode>
                <c:ptCount val="33"/>
                <c:pt idx="0">
                  <c:v>-0.90430135210782492</c:v>
                </c:pt>
                <c:pt idx="1">
                  <c:v>-0.90281301633036704</c:v>
                </c:pt>
                <c:pt idx="2">
                  <c:v>-0.89833486300630483</c:v>
                </c:pt>
                <c:pt idx="3">
                  <c:v>-0.89082686665843647</c:v>
                </c:pt>
                <c:pt idx="4">
                  <c:v>-0.88022029743635966</c:v>
                </c:pt>
                <c:pt idx="5">
                  <c:v>-0.86641445947935125</c:v>
                </c:pt>
                <c:pt idx="6">
                  <c:v>-0.84927161564018361</c:v>
                </c:pt>
                <c:pt idx="7">
                  <c:v>-0.82860946178576489</c:v>
                </c:pt>
                <c:pt idx="8">
                  <c:v>-0.80419009985127232</c:v>
                </c:pt>
                <c:pt idx="9">
                  <c:v>-0.77570375566576111</c:v>
                </c:pt>
                <c:pt idx="10">
                  <c:v>-0.74274422322415168</c:v>
                </c:pt>
                <c:pt idx="11">
                  <c:v>-0.70477060491448629</c:v>
                </c:pt>
                <c:pt idx="12">
                  <c:v>-0.66104499286152185</c:v>
                </c:pt>
                <c:pt idx="13">
                  <c:v>-0.61052482435028077</c:v>
                </c:pt>
                <c:pt idx="14">
                  <c:v>-0.551661814984308</c:v>
                </c:pt>
                <c:pt idx="15">
                  <c:v>-0.48198364015549</c:v>
                </c:pt>
                <c:pt idx="16">
                  <c:v>-0.39707444922750901</c:v>
                </c:pt>
                <c:pt idx="17">
                  <c:v>-0.37256268657181352</c:v>
                </c:pt>
                <c:pt idx="18">
                  <c:v>-0.34633329093051668</c:v>
                </c:pt>
                <c:pt idx="19">
                  <c:v>-0.31807260502435575</c:v>
                </c:pt>
                <c:pt idx="20">
                  <c:v>-0.28735034894358857</c:v>
                </c:pt>
                <c:pt idx="21">
                  <c:v>-0.25354755149841296</c:v>
                </c:pt>
                <c:pt idx="22">
                  <c:v>-0.21571430899503177</c:v>
                </c:pt>
                <c:pt idx="23">
                  <c:v>-0.17224961155525745</c:v>
                </c:pt>
                <c:pt idx="24">
                  <c:v>-0.12001893524016845</c:v>
                </c:pt>
                <c:pt idx="25">
                  <c:v>-5.082697587348306E-2</c:v>
                </c:pt>
                <c:pt idx="26">
                  <c:v>0.11267854894544181</c:v>
                </c:pt>
                <c:pt idx="27">
                  <c:v>0.11267854894544181</c:v>
                </c:pt>
                <c:pt idx="28">
                  <c:v>0.11267854894544181</c:v>
                </c:pt>
                <c:pt idx="29">
                  <c:v>0.11267854894544181</c:v>
                </c:pt>
                <c:pt idx="30">
                  <c:v>0.11267854894544181</c:v>
                </c:pt>
                <c:pt idx="31">
                  <c:v>0.11267854894544181</c:v>
                </c:pt>
                <c:pt idx="32">
                  <c:v>0.11267854894544181</c:v>
                </c:pt>
              </c:numCache>
            </c:numRef>
          </c:xVal>
          <c:yVal>
            <c:numRef>
              <c:f>'DIGSILENT CAPABILITY TABLES'!$F$16:$AL$16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FB4-42AD-80D8-FD039964683B}"/>
            </c:ext>
          </c:extLst>
        </c:ser>
        <c:ser>
          <c:idx val="20"/>
          <c:order val="18"/>
          <c:tx>
            <c:v>1.04 Ind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'DIGSILENT CAPABILITY TABLES'!$F$52:$AL$52</c:f>
              <c:numCache>
                <c:formatCode>General</c:formatCode>
                <c:ptCount val="33"/>
                <c:pt idx="0">
                  <c:v>-0.91978004661468249</c:v>
                </c:pt>
                <c:pt idx="1">
                  <c:v>-0.91832037342356587</c:v>
                </c:pt>
                <c:pt idx="2">
                  <c:v>-0.91392895527093032</c:v>
                </c:pt>
                <c:pt idx="3">
                  <c:v>-0.90656806380456856</c:v>
                </c:pt>
                <c:pt idx="4">
                  <c:v>-0.89617298873443796</c:v>
                </c:pt>
                <c:pt idx="5">
                  <c:v>-0.88264909294024718</c:v>
                </c:pt>
                <c:pt idx="6">
                  <c:v>-0.86586724907604184</c:v>
                </c:pt>
                <c:pt idx="7">
                  <c:v>-0.84565711127327914</c:v>
                </c:pt>
                <c:pt idx="8">
                  <c:v>-0.82179732903989444</c:v>
                </c:pt>
                <c:pt idx="9">
                  <c:v>-0.7940012312404473</c:v>
                </c:pt>
                <c:pt idx="10">
                  <c:v>-0.76189548515234495</c:v>
                </c:pt>
                <c:pt idx="11">
                  <c:v>-0.72498732479367411</c:v>
                </c:pt>
                <c:pt idx="12">
                  <c:v>-0.68261213981221591</c:v>
                </c:pt>
                <c:pt idx="13">
                  <c:v>-0.63384505127943103</c:v>
                </c:pt>
                <c:pt idx="14">
                  <c:v>-0.57734082710059442</c:v>
                </c:pt>
                <c:pt idx="15">
                  <c:v>-0.51101499972898001</c:v>
                </c:pt>
                <c:pt idx="16">
                  <c:v>-0.43131583704735044</c:v>
                </c:pt>
                <c:pt idx="17">
                  <c:v>-0.40861162539734175</c:v>
                </c:pt>
                <c:pt idx="18">
                  <c:v>-0.38450490908495011</c:v>
                </c:pt>
                <c:pt idx="19">
                  <c:v>-0.35878261458286298</c:v>
                </c:pt>
                <c:pt idx="20">
                  <c:v>-0.33116673956972736</c:v>
                </c:pt>
                <c:pt idx="21">
                  <c:v>-0.30128252365868724</c:v>
                </c:pt>
                <c:pt idx="22">
                  <c:v>-0.26860313010885362</c:v>
                </c:pt>
                <c:pt idx="23">
                  <c:v>-0.23234533031443977</c:v>
                </c:pt>
                <c:pt idx="24">
                  <c:v>-0.19124954415736489</c:v>
                </c:pt>
                <c:pt idx="25">
                  <c:v>-0.14303323047357985</c:v>
                </c:pt>
                <c:pt idx="26">
                  <c:v>-8.2604835523059569E-2</c:v>
                </c:pt>
                <c:pt idx="27">
                  <c:v>8.8450172404370905E-3</c:v>
                </c:pt>
                <c:pt idx="28">
                  <c:v>0.1171406368121779</c:v>
                </c:pt>
                <c:pt idx="29">
                  <c:v>0.1171406368121779</c:v>
                </c:pt>
                <c:pt idx="30">
                  <c:v>0.1171406368121779</c:v>
                </c:pt>
                <c:pt idx="31">
                  <c:v>0.1171406368121779</c:v>
                </c:pt>
                <c:pt idx="32">
                  <c:v>0.1171406368121779</c:v>
                </c:pt>
              </c:numCache>
            </c:numRef>
          </c:xVal>
          <c:yVal>
            <c:numRef>
              <c:f>'DIGSILENT CAPABILITY TABLES'!$F$16:$AL$16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FB4-42AD-80D8-FD039964683B}"/>
            </c:ext>
          </c:extLst>
        </c:ser>
        <c:ser>
          <c:idx val="21"/>
          <c:order val="19"/>
          <c:tx>
            <c:v>1.06 Ind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'DIGSILENT CAPABILITY TABLES'!$F$53:$AL$53</c:f>
              <c:numCache>
                <c:formatCode>General</c:formatCode>
                <c:ptCount val="33"/>
                <c:pt idx="0">
                  <c:v>-0.93517209863869066</c:v>
                </c:pt>
                <c:pt idx="1">
                  <c:v>-0.933740004181428</c:v>
                </c:pt>
                <c:pt idx="2">
                  <c:v>-0.92943201398024544</c:v>
                </c:pt>
                <c:pt idx="3">
                  <c:v>-0.92221252377142393</c:v>
                </c:pt>
                <c:pt idx="4">
                  <c:v>-0.91202053309743614</c:v>
                </c:pt>
                <c:pt idx="5">
                  <c:v>-0.89876698070123284</c:v>
                </c:pt>
                <c:pt idx="6">
                  <c:v>-0.88233063159019587</c:v>
                </c:pt>
                <c:pt idx="7">
                  <c:v>-0.86255204524369133</c:v>
                </c:pt>
                <c:pt idx="8">
                  <c:v>-0.83922486308664135</c:v>
                </c:pt>
                <c:pt idx="9">
                  <c:v>-0.81208317360707094</c:v>
                </c:pt>
                <c:pt idx="10">
                  <c:v>-0.78078288055219514</c:v>
                </c:pt>
                <c:pt idx="11">
                  <c:v>-0.74487347412205518</c:v>
                </c:pt>
                <c:pt idx="12">
                  <c:v>-0.70375363989195461</c:v>
                </c:pt>
                <c:pt idx="13">
                  <c:v>-0.65659795632094908</c:v>
                </c:pt>
                <c:pt idx="14">
                  <c:v>-0.60222786422168995</c:v>
                </c:pt>
                <c:pt idx="15">
                  <c:v>-0.53886430809399077</c:v>
                </c:pt>
                <c:pt idx="16">
                  <c:v>-0.46359360533434846</c:v>
                </c:pt>
                <c:pt idx="17">
                  <c:v>-0.44237365714836147</c:v>
                </c:pt>
                <c:pt idx="18">
                  <c:v>-0.41997465037483145</c:v>
                </c:pt>
                <c:pt idx="19">
                  <c:v>-0.39624363564254161</c:v>
                </c:pt>
                <c:pt idx="20">
                  <c:v>-0.37098817230384307</c:v>
                </c:pt>
                <c:pt idx="21">
                  <c:v>-0.34396028160207309</c:v>
                </c:pt>
                <c:pt idx="22">
                  <c:v>-0.31483085905219343</c:v>
                </c:pt>
                <c:pt idx="23">
                  <c:v>-0.2831465198268831</c:v>
                </c:pt>
                <c:pt idx="24">
                  <c:v>-0.24825138200475411</c:v>
                </c:pt>
                <c:pt idx="25">
                  <c:v>-0.20913096987011248</c:v>
                </c:pt>
                <c:pt idx="26">
                  <c:v>-0.1640551129142023</c:v>
                </c:pt>
                <c:pt idx="27">
                  <c:v>-0.10956719035365931</c:v>
                </c:pt>
                <c:pt idx="28">
                  <c:v>-3.6206667917916754E-2</c:v>
                </c:pt>
                <c:pt idx="29">
                  <c:v>0.12168936716176319</c:v>
                </c:pt>
                <c:pt idx="30">
                  <c:v>0.12168936716176319</c:v>
                </c:pt>
                <c:pt idx="31">
                  <c:v>0.12168936716176319</c:v>
                </c:pt>
                <c:pt idx="32">
                  <c:v>0.12168936716176319</c:v>
                </c:pt>
              </c:numCache>
            </c:numRef>
          </c:xVal>
          <c:yVal>
            <c:numRef>
              <c:f>'DIGSILENT CAPABILITY TABLES'!$F$16:$AL$16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FB4-42AD-80D8-FD039964683B}"/>
            </c:ext>
          </c:extLst>
        </c:ser>
        <c:ser>
          <c:idx val="4"/>
          <c:order val="20"/>
          <c:tx>
            <c:v>1.08 Ind</c:v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'DIGSILENT CAPABILITY TABLES'!$F$54:$AL$54</c:f>
              <c:numCache>
                <c:formatCode>General</c:formatCode>
                <c:ptCount val="33"/>
                <c:pt idx="0">
                  <c:v>-0.95047750817984944</c:v>
                </c:pt>
                <c:pt idx="1">
                  <c:v>-0.9490719689800684</c:v>
                </c:pt>
                <c:pt idx="2">
                  <c:v>-0.94484428573081936</c:v>
                </c:pt>
                <c:pt idx="3">
                  <c:v>-0.9377608212614198</c:v>
                </c:pt>
                <c:pt idx="4">
                  <c:v>-0.92776400469131615</c:v>
                </c:pt>
                <c:pt idx="5">
                  <c:v>-0.91476991548756137</c:v>
                </c:pt>
                <c:pt idx="6">
                  <c:v>-0.89866456808305373</c:v>
                </c:pt>
                <c:pt idx="7">
                  <c:v>-0.87929849048165132</c:v>
                </c:pt>
                <c:pt idx="8">
                  <c:v>-0.85647894420355819</c:v>
                </c:pt>
                <c:pt idx="9">
                  <c:v>-0.82995873349715288</c:v>
                </c:pt>
                <c:pt idx="10">
                  <c:v>-0.79941986931912823</c:v>
                </c:pt>
                <c:pt idx="11">
                  <c:v>-0.76444912674903043</c:v>
                </c:pt>
                <c:pt idx="12">
                  <c:v>-0.72450020185499531</c:v>
                </c:pt>
                <c:pt idx="13">
                  <c:v>-0.67883243824659933</c:v>
                </c:pt>
                <c:pt idx="14">
                  <c:v>-0.62640567766718691</c:v>
                </c:pt>
                <c:pt idx="15">
                  <c:v>-0.56568543454999387</c:v>
                </c:pt>
                <c:pt idx="16">
                  <c:v>-0.49424200232501703</c:v>
                </c:pt>
                <c:pt idx="17">
                  <c:v>-0.47426998123858394</c:v>
                </c:pt>
                <c:pt idx="18">
                  <c:v>-0.45328446599953287</c:v>
                </c:pt>
                <c:pt idx="19">
                  <c:v>-0.43117101709520161</c:v>
                </c:pt>
                <c:pt idx="20">
                  <c:v>-0.40778955645618048</c:v>
                </c:pt>
                <c:pt idx="21">
                  <c:v>-0.3829654711552829</c:v>
                </c:pt>
                <c:pt idx="22">
                  <c:v>-0.35647628700624506</c:v>
                </c:pt>
                <c:pt idx="23">
                  <c:v>-0.32803086872289788</c:v>
                </c:pt>
                <c:pt idx="24">
                  <c:v>-0.29723526953536422</c:v>
                </c:pt>
                <c:pt idx="25">
                  <c:v>-0.26353295092991674</c:v>
                </c:pt>
                <c:pt idx="26">
                  <c:v>-0.22609096861238864</c:v>
                </c:pt>
                <c:pt idx="27">
                  <c:v>-0.18355671987825489</c:v>
                </c:pt>
                <c:pt idx="28">
                  <c:v>-0.13344069587570789</c:v>
                </c:pt>
                <c:pt idx="29">
                  <c:v>-7.0020667827534189E-2</c:v>
                </c:pt>
                <c:pt idx="30">
                  <c:v>3.0164292445935003E-2</c:v>
                </c:pt>
                <c:pt idx="31">
                  <c:v>0.12632473999419774</c:v>
                </c:pt>
                <c:pt idx="32">
                  <c:v>0.12632473999419774</c:v>
                </c:pt>
              </c:numCache>
            </c:numRef>
          </c:xVal>
          <c:yVal>
            <c:numRef>
              <c:f>'DIGSILENT CAPABILITY TABLES'!$F$16:$AL$16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FB4-42AD-80D8-FD039964683B}"/>
            </c:ext>
          </c:extLst>
        </c:ser>
        <c:ser>
          <c:idx val="5"/>
          <c:order val="21"/>
          <c:tx>
            <c:v>1.1 Ind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'DIGSILENT CAPABILITY TABLES'!$F$55:$AL$55</c:f>
              <c:numCache>
                <c:formatCode>General</c:formatCode>
                <c:ptCount val="33"/>
                <c:pt idx="0">
                  <c:v>-0.96569627523815904</c:v>
                </c:pt>
                <c:pt idx="1">
                  <c:v>-0.96431632379024013</c:v>
                </c:pt>
                <c:pt idx="2">
                  <c:v>-0.96016599894828614</c:v>
                </c:pt>
                <c:pt idx="3">
                  <c:v>-0.95321348792312133</c:v>
                </c:pt>
                <c:pt idx="4">
                  <c:v>-0.94340439530408771</c:v>
                </c:pt>
                <c:pt idx="5">
                  <c:v>-0.93065954826737063</c:v>
                </c:pt>
                <c:pt idx="6">
                  <c:v>-0.91487163302434205</c:v>
                </c:pt>
                <c:pt idx="7">
                  <c:v>-0.89590031005212856</c:v>
                </c:pt>
                <c:pt idx="8">
                  <c:v>-0.8735652469355758</c:v>
                </c:pt>
                <c:pt idx="9">
                  <c:v>-0.84763617345489783</c:v>
                </c:pt>
                <c:pt idx="10">
                  <c:v>-0.81781850122319566</c:v>
                </c:pt>
                <c:pt idx="11">
                  <c:v>-0.78373205678381508</c:v>
                </c:pt>
                <c:pt idx="12">
                  <c:v>-0.74487862681779948</c:v>
                </c:pt>
                <c:pt idx="13">
                  <c:v>-0.70059035007652948</c:v>
                </c:pt>
                <c:pt idx="14">
                  <c:v>-0.64994317743922114</c:v>
                </c:pt>
                <c:pt idx="15">
                  <c:v>-0.59160134373653639</c:v>
                </c:pt>
                <c:pt idx="16">
                  <c:v>-0.52351055696716187</c:v>
                </c:pt>
                <c:pt idx="17">
                  <c:v>-0.50460740581496466</c:v>
                </c:pt>
                <c:pt idx="18">
                  <c:v>-0.48481769816613796</c:v>
                </c:pt>
                <c:pt idx="19">
                  <c:v>-0.46405299477853779</c:v>
                </c:pt>
                <c:pt idx="20">
                  <c:v>-0.44220735505940473</c:v>
                </c:pt>
                <c:pt idx="21">
                  <c:v>-0.41915203835951892</c:v>
                </c:pt>
                <c:pt idx="22">
                  <c:v>-0.39472793508063514</c:v>
                </c:pt>
                <c:pt idx="23">
                  <c:v>-0.36873440935643814</c:v>
                </c:pt>
                <c:pt idx="24">
                  <c:v>-0.34091222072002814</c:v>
                </c:pt>
                <c:pt idx="25">
                  <c:v>-0.31091615326410338</c:v>
                </c:pt>
                <c:pt idx="26">
                  <c:v>-0.27826855720010807</c:v>
                </c:pt>
                <c:pt idx="27">
                  <c:v>-0.24227443690283193</c:v>
                </c:pt>
                <c:pt idx="28">
                  <c:v>-0.20185003808874674</c:v>
                </c:pt>
                <c:pt idx="29">
                  <c:v>-0.15512401984902915</c:v>
                </c:pt>
                <c:pt idx="30">
                  <c:v>-9.8276215748419299E-2</c:v>
                </c:pt>
                <c:pt idx="31">
                  <c:v>-2.0301229661652286E-2</c:v>
                </c:pt>
                <c:pt idx="32">
                  <c:v>0.13104675530948151</c:v>
                </c:pt>
              </c:numCache>
            </c:numRef>
          </c:xVal>
          <c:yVal>
            <c:numRef>
              <c:f>'DIGSILENT CAPABILITY TABLES'!$F$16:$AL$16</c:f>
              <c:numCache>
                <c:formatCode>General</c:formatCode>
                <c:ptCount val="33"/>
                <c:pt idx="0">
                  <c:v>0</c:v>
                </c:pt>
                <c:pt idx="1">
                  <c:v>5.5E-2</c:v>
                </c:pt>
                <c:pt idx="2">
                  <c:v>0.11</c:v>
                </c:pt>
                <c:pt idx="3">
                  <c:v>0.16500000000000001</c:v>
                </c:pt>
                <c:pt idx="4">
                  <c:v>0.22</c:v>
                </c:pt>
                <c:pt idx="5">
                  <c:v>0.27500000000000002</c:v>
                </c:pt>
                <c:pt idx="6">
                  <c:v>0.33</c:v>
                </c:pt>
                <c:pt idx="7">
                  <c:v>0.38500000000000001</c:v>
                </c:pt>
                <c:pt idx="8">
                  <c:v>0.44</c:v>
                </c:pt>
                <c:pt idx="9">
                  <c:v>0.495</c:v>
                </c:pt>
                <c:pt idx="10">
                  <c:v>0.55000000000000004</c:v>
                </c:pt>
                <c:pt idx="11">
                  <c:v>0.60499999999999998</c:v>
                </c:pt>
                <c:pt idx="12">
                  <c:v>0.66</c:v>
                </c:pt>
                <c:pt idx="13">
                  <c:v>0.71499999999999997</c:v>
                </c:pt>
                <c:pt idx="14">
                  <c:v>0.77</c:v>
                </c:pt>
                <c:pt idx="15">
                  <c:v>0.82499999999999996</c:v>
                </c:pt>
                <c:pt idx="16">
                  <c:v>0.88</c:v>
                </c:pt>
                <c:pt idx="17">
                  <c:v>0.89375000000000004</c:v>
                </c:pt>
                <c:pt idx="18">
                  <c:v>0.90749999999999997</c:v>
                </c:pt>
                <c:pt idx="19">
                  <c:v>0.92125000000000001</c:v>
                </c:pt>
                <c:pt idx="20">
                  <c:v>0.93500000000000005</c:v>
                </c:pt>
                <c:pt idx="21">
                  <c:v>0.94874999999999998</c:v>
                </c:pt>
                <c:pt idx="22">
                  <c:v>0.96250000000000002</c:v>
                </c:pt>
                <c:pt idx="23">
                  <c:v>0.97624999999999995</c:v>
                </c:pt>
                <c:pt idx="24">
                  <c:v>0.99</c:v>
                </c:pt>
                <c:pt idx="25">
                  <c:v>1.0037499999999999</c:v>
                </c:pt>
                <c:pt idx="26">
                  <c:v>1.0175000000000001</c:v>
                </c:pt>
                <c:pt idx="27">
                  <c:v>1.03125</c:v>
                </c:pt>
                <c:pt idx="28">
                  <c:v>1.0449999999999999</c:v>
                </c:pt>
                <c:pt idx="29">
                  <c:v>1.0587500000000001</c:v>
                </c:pt>
                <c:pt idx="30">
                  <c:v>1.0725</c:v>
                </c:pt>
                <c:pt idx="31">
                  <c:v>1.0862499999999999</c:v>
                </c:pt>
                <c:pt idx="32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FB4-42AD-80D8-FD0399646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665712"/>
        <c:axId val="535660272"/>
      </c:scatterChart>
      <c:valAx>
        <c:axId val="535665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5660272"/>
        <c:crosses val="autoZero"/>
        <c:crossBetween val="midCat"/>
      </c:valAx>
      <c:valAx>
        <c:axId val="53566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5665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$D$28" fmlaRange="aux!$AC$1:$AC$2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80962</xdr:colOff>
      <xdr:row>14</xdr:row>
      <xdr:rowOff>34269</xdr:rowOff>
    </xdr:from>
    <xdr:to>
      <xdr:col>35</xdr:col>
      <xdr:colOff>24233</xdr:colOff>
      <xdr:row>42</xdr:row>
      <xdr:rowOff>79491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1133475</xdr:colOff>
          <xdr:row>26</xdr:row>
          <xdr:rowOff>180975</xdr:rowOff>
        </xdr:from>
        <xdr:to>
          <xdr:col>4</xdr:col>
          <xdr:colOff>247650</xdr:colOff>
          <xdr:row>28</xdr:row>
          <xdr:rowOff>28575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209549</xdr:colOff>
      <xdr:row>2</xdr:row>
      <xdr:rowOff>95250</xdr:rowOff>
    </xdr:from>
    <xdr:to>
      <xdr:col>26</xdr:col>
      <xdr:colOff>295275</xdr:colOff>
      <xdr:row>31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600074</xdr:colOff>
      <xdr:row>0</xdr:row>
      <xdr:rowOff>0</xdr:rowOff>
    </xdr:from>
    <xdr:to>
      <xdr:col>16</xdr:col>
      <xdr:colOff>704850</xdr:colOff>
      <xdr:row>14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14</xdr:row>
      <xdr:rowOff>66676</xdr:rowOff>
    </xdr:from>
    <xdr:to>
      <xdr:col>16</xdr:col>
      <xdr:colOff>695325</xdr:colOff>
      <xdr:row>30</xdr:row>
      <xdr:rowOff>171451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30</xdr:row>
      <xdr:rowOff>190499</xdr:rowOff>
    </xdr:from>
    <xdr:to>
      <xdr:col>16</xdr:col>
      <xdr:colOff>723900</xdr:colOff>
      <xdr:row>49</xdr:row>
      <xdr:rowOff>19049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590551</xdr:colOff>
      <xdr:row>49</xdr:row>
      <xdr:rowOff>57150</xdr:rowOff>
    </xdr:from>
    <xdr:to>
      <xdr:col>16</xdr:col>
      <xdr:colOff>704851</xdr:colOff>
      <xdr:row>68</xdr:row>
      <xdr:rowOff>57150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476250</xdr:colOff>
      <xdr:row>1</xdr:row>
      <xdr:rowOff>30270</xdr:rowOff>
    </xdr:from>
    <xdr:ext cx="4743450" cy="7089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10325100" y="220770"/>
              <a:ext cx="4743450" cy="7089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𝑜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𝑖𝑛𝑑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𝑁𝑚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·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ad>
                          <m:radPr>
                            <m:degHide m:val="on"/>
                            <m:ctrlP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num>
                              <m:den>
                                <m:sSubSup>
                                  <m:sSubSupPr>
                                    <m:ctrlP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𝑘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sub>
                                  <m:sup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sSup>
                              <m:sSup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𝑜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sSup>
                              <m:sSup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𝑜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</m:den>
                        </m:f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·</m:t>
                        </m:r>
                        <m:sSubSup>
                          <m:sSubSupPr>
                            <m:ctrlP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𝑜</m:t>
                            </m:r>
                          </m:sub>
                          <m:sup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s-ES" sz="14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10325100" y="220770"/>
              <a:ext cx="4743450" cy="7089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𝑄_(𝑜_𝑖𝑛𝑑)=𝑁𝑚·(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−√(3/(𝑘_3^2 )·〖𝑉_𝑜〗^2·〖𝐼_𝑖〗^2−〖𝑃_𝑜〗^2 )+𝑘_4/𝑘_3 ·𝑉_𝑜^2 )</a:t>
              </a:r>
              <a:endParaRPr lang="es-ES" sz="1400"/>
            </a:p>
          </xdr:txBody>
        </xdr:sp>
      </mc:Fallback>
    </mc:AlternateContent>
    <xdr:clientData/>
  </xdr:oneCellAnchor>
  <xdr:oneCellAnchor>
    <xdr:from>
      <xdr:col>16</xdr:col>
      <xdr:colOff>352425</xdr:colOff>
      <xdr:row>6</xdr:row>
      <xdr:rowOff>161925</xdr:rowOff>
    </xdr:from>
    <xdr:ext cx="6000750" cy="24656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SpPr txBox="1"/>
          </xdr:nvSpPr>
          <xdr:spPr>
            <a:xfrm>
              <a:off x="10448925" y="1304925"/>
              <a:ext cx="6000750" cy="24656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400" b="0" i="1">
                  <a:latin typeface="Cambria Math" panose="02040503050406030204" pitchFamily="18" charset="0"/>
                </a:rPr>
                <a:t>MIN IMUM</a:t>
              </a:r>
              <a:r>
                <a:rPr lang="es-ES" sz="1400" b="0" i="1" baseline="0">
                  <a:latin typeface="Cambria Math" panose="02040503050406030204" pitchFamily="18" charset="0"/>
                </a:rPr>
                <a:t> BETWEEN</a:t>
              </a:r>
              <a:endParaRPr lang="es-ES" sz="1400" b="0" i="1">
                <a:latin typeface="Cambria Math" panose="02040503050406030204" pitchFamily="18" charset="0"/>
              </a:endParaRPr>
            </a:p>
            <a:p>
              <a:endParaRPr lang="es-ES" sz="1400" b="0" i="1">
                <a:latin typeface="Cambria Math" panose="02040503050406030204" pitchFamily="18" charset="0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𝑜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𝑐𝑎𝑝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𝑁𝑚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·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</m:den>
                        </m:f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·</m:t>
                        </m:r>
                        <m:sSubSup>
                          <m:sSubSupPr>
                            <m:ctrlP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𝑜</m:t>
                            </m:r>
                          </m:sub>
                          <m:sup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ad>
                          <m:radPr>
                            <m:degHide m:val="on"/>
                            <m:ctrlP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num>
                              <m:den>
                                <m:sSubSup>
                                  <m:sSubSupPr>
                                    <m:ctrlP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𝑘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</m:sub>
                                  <m:sup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sSup>
                              <m:sSup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𝑜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sSup>
                              <m:sSup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𝑃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𝑜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e>
                    </m:d>
                  </m:oMath>
                </m:oMathPara>
              </a14:m>
              <a:endParaRPr lang="es-ES" sz="1400"/>
            </a:p>
            <a:p>
              <a:r>
                <a:rPr lang="es-ES" sz="1400"/>
                <a:t>AND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𝑄</m:t>
                        </m:r>
                      </m:e>
                      <m:sub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𝑜</m:t>
                        </m:r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𝑐𝑎𝑝</m:t>
                        </m:r>
                      </m:sub>
                    </m:sSub>
                    <m:r>
                      <a:rPr lang="es-E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𝑁𝑚</m:t>
                    </m:r>
                    <m:r>
                      <a:rPr lang="es-E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·</m:t>
                    </m:r>
                    <m:d>
                      <m:dPr>
                        <m:ctrlP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f>
                          <m:fPr>
                            <m:ctrlP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·</m:t>
                        </m:r>
                        <m:sSubSup>
                          <m:sSubSupPr>
                            <m:ctrlP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𝑜</m:t>
                            </m:r>
                          </m:sub>
                          <m:sup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r>
                          <a:rPr lang="es-E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ad>
                          <m:radPr>
                            <m:degHide m:val="on"/>
                            <m:ctrlP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3·</m:t>
                                    </m:r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𝑜</m:t>
                                    </m:r>
                                  </m:sub>
                                  <m:sup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bSup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·</m:t>
                                </m:r>
                                <m:sSup>
                                  <m:sSupPr>
                                    <m:ctrlP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p>
                                      <m:sSupPr>
                                        <m:ctrlPr>
                                          <a:rPr lang="es-E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E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(1.43·</m:t>
                                        </m:r>
                                        <m:r>
                                          <a:rPr lang="es-E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𝑉𝑑𝑐</m:t>
                                        </m:r>
                                      </m:e>
                                      <m:sup>
                                        <m:r>
                                          <a:rPr lang="es-ES" sz="1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+10)</m:t>
                                    </m:r>
                                  </m:e>
                                  <m:sup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sSubSup>
                                  <m:sSubSupPr>
                                    <m:ctrlP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𝑘</m:t>
                                    </m:r>
                                  </m:e>
                                  <m:sub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  <m:sup>
                                    <m:r>
                                      <a:rPr lang="es-ES" sz="1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a:rPr lang="es-ES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Sup>
                              <m:sSubSupPr>
                                <m:ctrlP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SupPr>
                              <m:e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𝑜</m:t>
                                </m:r>
                              </m:sub>
                              <m:sup>
                                <m:r>
                                  <a:rPr lang="es-ES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bSup>
                          </m:e>
                        </m:rad>
                      </m:e>
                    </m:d>
                  </m:oMath>
                </m:oMathPara>
              </a14:m>
              <a:endParaRPr lang="es-ES" sz="1400">
                <a:effectLst/>
              </a:endParaRPr>
            </a:p>
            <a:p>
              <a:endParaRPr lang="es-ES" sz="1400"/>
            </a:p>
            <a:p>
              <a:r>
                <a:rPr lang="es-ES" sz="1400" baseline="0"/>
                <a:t> </a:t>
              </a:r>
              <a:endParaRPr lang="es-ES" sz="1400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10448925" y="1304925"/>
              <a:ext cx="6000750" cy="24656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400" b="0" i="1">
                  <a:latin typeface="Cambria Math" panose="02040503050406030204" pitchFamily="18" charset="0"/>
                </a:rPr>
                <a:t>MIN IMUM</a:t>
              </a:r>
              <a:r>
                <a:rPr lang="es-ES" sz="1400" b="0" i="1" baseline="0">
                  <a:latin typeface="Cambria Math" panose="02040503050406030204" pitchFamily="18" charset="0"/>
                </a:rPr>
                <a:t> BETWEEN</a:t>
              </a:r>
              <a:endParaRPr lang="es-ES" sz="1400" b="0" i="1">
                <a:latin typeface="Cambria Math" panose="02040503050406030204" pitchFamily="18" charset="0"/>
              </a:endParaRPr>
            </a:p>
            <a:p>
              <a:endParaRPr lang="es-ES" sz="1400" b="0" i="1">
                <a:latin typeface="Cambria Math" panose="02040503050406030204" pitchFamily="18" charset="0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400" b="0" i="0">
                  <a:latin typeface="Cambria Math" panose="02040503050406030204" pitchFamily="18" charset="0"/>
                </a:rPr>
                <a:t>𝑄_(𝑜_𝑐𝑎𝑝)=𝑁𝑚·(</a:t>
              </a: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𝑘_4/𝑘_3 ·𝑉_𝑜^2+√(3/(𝑘_3^2 )·〖𝑉_𝑜〗^2·〖𝐼_𝑖〗^2−〖𝑃_𝑜〗^2 ))</a:t>
              </a:r>
              <a:endParaRPr lang="es-ES" sz="1400"/>
            </a:p>
            <a:p>
              <a:r>
                <a:rPr lang="es-ES" sz="1400"/>
                <a:t>AND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𝑄_(𝑜_𝑐𝑎𝑝)=𝑁𝑚·(−𝑘_1/𝑘_2 ·𝑉_𝑜^2+√((〖3·𝑉〗_𝑜^2·〖〖(1.43·𝑉𝑑𝑐〗^2+10)〗^2)/(𝑘_2^2 )−𝑃_𝑜^2 ))</a:t>
              </a:r>
              <a:endParaRPr lang="es-ES" sz="1400">
                <a:effectLst/>
              </a:endParaRPr>
            </a:p>
            <a:p>
              <a:endParaRPr lang="es-ES" sz="1400"/>
            </a:p>
            <a:p>
              <a:r>
                <a:rPr lang="es-ES" sz="1400" baseline="0"/>
                <a:t> </a:t>
              </a:r>
              <a:endParaRPr lang="es-ES" sz="14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294409</xdr:colOff>
      <xdr:row>61</xdr:row>
      <xdr:rowOff>33618</xdr:rowOff>
    </xdr:from>
    <xdr:to>
      <xdr:col>19</xdr:col>
      <xdr:colOff>526677</xdr:colOff>
      <xdr:row>96</xdr:row>
      <xdr:rowOff>0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742951</xdr:colOff>
      <xdr:row>61</xdr:row>
      <xdr:rowOff>43541</xdr:rowOff>
    </xdr:from>
    <xdr:to>
      <xdr:col>37</xdr:col>
      <xdr:colOff>152400</xdr:colOff>
      <xdr:row>96</xdr:row>
      <xdr:rowOff>9524</xdr:rowOff>
    </xdr:to>
    <xdr:graphicFrame macro="">
      <xdr:nvGraphicFramePr>
        <xdr:cNvPr id="6" name="3 Gráfico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%20unidad/Herramientas/Convertidores/WD3_26_003_v10.512.Capability_Curv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"/>
      <sheetName val="Data-sheet Generator"/>
      <sheetName val="Data_AC"/>
      <sheetName val="Data_DC"/>
      <sheetName val="PV operation points"/>
      <sheetName val="InverterTables"/>
      <sheetName val="Inverter Curves"/>
      <sheetName val="Plant Table"/>
      <sheetName val="Plant Curves"/>
      <sheetName val="Operation results"/>
      <sheetName val="Inverters Operation Point"/>
      <sheetName val="Data_inverters"/>
      <sheetName val="Data PV Panels"/>
      <sheetName val="Aux"/>
      <sheetName val="Instrucciones &amp; ECUACIONES"/>
      <sheetName val="Figures to report"/>
    </sheetNames>
    <sheetDataSet>
      <sheetData sheetId="0"/>
      <sheetData sheetId="1"/>
      <sheetData sheetId="2">
        <row r="2">
          <cell r="B2">
            <v>50</v>
          </cell>
        </row>
        <row r="3">
          <cell r="N3">
            <v>1.2999999999999999E-4</v>
          </cell>
          <cell r="R3">
            <v>8.0000000000000007E-5</v>
          </cell>
        </row>
        <row r="4">
          <cell r="N4">
            <v>2.5000000000000001E-5</v>
          </cell>
          <cell r="R4">
            <v>0</v>
          </cell>
        </row>
      </sheetData>
      <sheetData sheetId="3">
        <row r="2">
          <cell r="B2">
            <v>1000</v>
          </cell>
          <cell r="D2">
            <v>1000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hyperlink" Target="mailto:P@PF=1%20(kW)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@PF=1%20(kW)" TargetMode="Externa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I@35" TargetMode="External"/><Relationship Id="rId2" Type="http://schemas.openxmlformats.org/officeDocument/2006/relationships/hyperlink" Target="mailto:I@50" TargetMode="External"/><Relationship Id="rId1" Type="http://schemas.openxmlformats.org/officeDocument/2006/relationships/hyperlink" Target="mailto:I@60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P@PF=1%20(kW)" TargetMode="Externa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hyperlink" Target="mailto:P@PF=1%20(kW)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P@PF=1%20(kW)" TargetMode="Externa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hyperlink" Target="mailto:P@PF=1%20(kW)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P@PF=1%20(kW)" TargetMode="Externa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comments" Target="../comments5.xml"/><Relationship Id="rId5" Type="http://schemas.openxmlformats.org/officeDocument/2006/relationships/vmlDrawing" Target="../drawings/vmlDrawing5.vml"/><Relationship Id="rId4" Type="http://schemas.openxmlformats.org/officeDocument/2006/relationships/hyperlink" Target="mailto:P@PF=1%20(kW)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P@PF=1%20(kW)" TargetMode="Externa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comments" Target="../comments6.xml"/><Relationship Id="rId5" Type="http://schemas.openxmlformats.org/officeDocument/2006/relationships/vmlDrawing" Target="../drawings/vmlDrawing6.vml"/><Relationship Id="rId4" Type="http://schemas.openxmlformats.org/officeDocument/2006/relationships/hyperlink" Target="mailto:P@PF=1%20(kW)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P@PF=1%20(kW)" TargetMode="Externa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comments" Target="../comments7.xml"/><Relationship Id="rId5" Type="http://schemas.openxmlformats.org/officeDocument/2006/relationships/vmlDrawing" Target="../drawings/vmlDrawing7.vml"/><Relationship Id="rId4" Type="http://schemas.openxmlformats.org/officeDocument/2006/relationships/hyperlink" Target="mailto:P@PF=1%20(kW)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P@PF=1%20(kW)" TargetMode="Externa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comments" Target="../comments8.xml"/><Relationship Id="rId5" Type="http://schemas.openxmlformats.org/officeDocument/2006/relationships/vmlDrawing" Target="../drawings/vmlDrawing8.vml"/><Relationship Id="rId4" Type="http://schemas.openxmlformats.org/officeDocument/2006/relationships/hyperlink" Target="mailto:P@PF=1%20(kW)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P@PF=1%20(kW)" TargetMode="Externa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comments" Target="../comments9.xml"/><Relationship Id="rId5" Type="http://schemas.openxmlformats.org/officeDocument/2006/relationships/vmlDrawing" Target="../drawings/vmlDrawing9.vml"/><Relationship Id="rId4" Type="http://schemas.openxmlformats.org/officeDocument/2006/relationships/hyperlink" Target="mailto:P@PF=1%20(kW)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P@PF=1%20(kW)" TargetMode="Externa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comments" Target="../comments10.xml"/><Relationship Id="rId5" Type="http://schemas.openxmlformats.org/officeDocument/2006/relationships/vmlDrawing" Target="../drawings/vmlDrawing10.vml"/><Relationship Id="rId4" Type="http://schemas.openxmlformats.org/officeDocument/2006/relationships/hyperlink" Target="mailto:P@PF=1%20(kW)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P@PF=1%20(kW)" TargetMode="Externa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comments" Target="../comments11.xml"/><Relationship Id="rId5" Type="http://schemas.openxmlformats.org/officeDocument/2006/relationships/vmlDrawing" Target="../drawings/vmlDrawing11.vml"/><Relationship Id="rId4" Type="http://schemas.openxmlformats.org/officeDocument/2006/relationships/hyperlink" Target="mailto:P@PF=1%20(kW)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P@PF=1%20(kW)" TargetMode="Externa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comments" Target="../comments12.xml"/><Relationship Id="rId5" Type="http://schemas.openxmlformats.org/officeDocument/2006/relationships/vmlDrawing" Target="../drawings/vmlDrawing12.vml"/><Relationship Id="rId4" Type="http://schemas.openxmlformats.org/officeDocument/2006/relationships/hyperlink" Target="mailto:P@PF=1%20(kW)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P@PF=1%20(kW)" TargetMode="External"/><Relationship Id="rId2" Type="http://schemas.openxmlformats.org/officeDocument/2006/relationships/hyperlink" Target="mailto:P@PF=1%20(W)%20(kW)" TargetMode="External"/><Relationship Id="rId1" Type="http://schemas.openxmlformats.org/officeDocument/2006/relationships/hyperlink" Target="mailto:Vdc@Tmin" TargetMode="External"/><Relationship Id="rId6" Type="http://schemas.openxmlformats.org/officeDocument/2006/relationships/comments" Target="../comments13.xml"/><Relationship Id="rId5" Type="http://schemas.openxmlformats.org/officeDocument/2006/relationships/vmlDrawing" Target="../drawings/vmlDrawing13.vml"/><Relationship Id="rId4" Type="http://schemas.openxmlformats.org/officeDocument/2006/relationships/hyperlink" Target="mailto:P@PF=1%20(kW)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0426-0477-497B-B9DB-3301EADF05CD}">
  <dimension ref="A1:W52"/>
  <sheetViews>
    <sheetView workbookViewId="0">
      <selection activeCell="L11" sqref="L11"/>
    </sheetView>
  </sheetViews>
  <sheetFormatPr baseColWidth="10" defaultRowHeight="15"/>
  <cols>
    <col min="1" max="1" width="31.28515625" customWidth="1"/>
    <col min="2" max="2" width="17.85546875" customWidth="1"/>
    <col min="3" max="3" width="14.7109375" customWidth="1"/>
    <col min="5" max="5" width="13.28515625" customWidth="1"/>
    <col min="7" max="7" width="15.42578125" customWidth="1"/>
    <col min="8" max="9" width="0" hidden="1" customWidth="1"/>
    <col min="10" max="10" width="11.85546875" hidden="1" customWidth="1"/>
    <col min="11" max="11" width="0" hidden="1" customWidth="1"/>
    <col min="13" max="13" width="34.28515625" customWidth="1"/>
    <col min="14" max="14" width="17.85546875" customWidth="1"/>
    <col min="15" max="15" width="14.7109375" customWidth="1"/>
    <col min="17" max="17" width="36.5703125" customWidth="1"/>
    <col min="18" max="18" width="16.5703125" customWidth="1"/>
    <col min="19" max="19" width="18.140625" customWidth="1"/>
    <col min="21" max="21" width="35" customWidth="1"/>
    <col min="22" max="22" width="20.7109375" customWidth="1"/>
    <col min="23" max="23" width="19.140625" customWidth="1"/>
  </cols>
  <sheetData>
    <row r="1" spans="1:23" ht="16.5" thickBot="1">
      <c r="A1" s="167" t="s">
        <v>127</v>
      </c>
      <c r="B1" s="169" t="str">
        <f>CONCATENATE("1MWD3-V",Capability!$B$1)</f>
        <v>1MWD3-V620</v>
      </c>
      <c r="C1" s="170"/>
      <c r="D1" s="169" t="str">
        <f>CONCATENATE("2MWD3-V",Capability!$B$1)</f>
        <v>2MWD3-V620</v>
      </c>
      <c r="E1" s="170"/>
      <c r="F1" s="169" t="str">
        <f>CONCATENATE("3MWD3-V",Capability!$B$1)</f>
        <v>3MWD3-V620</v>
      </c>
      <c r="G1" s="170"/>
      <c r="H1" s="133"/>
      <c r="M1" s="167" t="s">
        <v>127</v>
      </c>
      <c r="N1" s="169" t="str">
        <f>CONCATENATE("1MWD3-V",Capability!$B$1)</f>
        <v>1MWD3-V620</v>
      </c>
      <c r="O1" s="170"/>
      <c r="Q1" s="167" t="s">
        <v>127</v>
      </c>
      <c r="R1" s="169" t="str">
        <f>CONCATENATE("2MWD3-V",Capability!$B$1)</f>
        <v>2MWD3-V620</v>
      </c>
      <c r="S1" s="170"/>
      <c r="U1" s="167" t="s">
        <v>127</v>
      </c>
      <c r="V1" s="169" t="str">
        <f>CONCATENATE("3MWD3-V",Capability!$B$1)</f>
        <v>3MWD3-V620</v>
      </c>
      <c r="W1" s="170"/>
    </row>
    <row r="2" spans="1:23" ht="16.5" customHeight="1" thickBot="1">
      <c r="A2" s="168"/>
      <c r="B2" s="169" t="str">
        <f>CONCATENATE(B28,"WD3-HV",Capability!$B$1)</f>
        <v>1258WD3-HV620</v>
      </c>
      <c r="C2" s="170"/>
      <c r="D2" s="169" t="str">
        <f>CONCATENATE(D28,"WD3-HV",Capability!$B$1)</f>
        <v>2517WD3-HV620</v>
      </c>
      <c r="E2" s="170"/>
      <c r="F2" s="169" t="str">
        <f>CONCATENATE(F28,"WD3-HV",Capability!$B$1)</f>
        <v>3775WD3-HV620</v>
      </c>
      <c r="G2" s="170"/>
      <c r="H2" s="133"/>
      <c r="M2" s="168"/>
      <c r="N2" s="169" t="str">
        <f>CONCATENATE(N28,"WD3-HV",Capability!$B$1)</f>
        <v>1258WD3-HV620</v>
      </c>
      <c r="O2" s="170"/>
      <c r="Q2" s="168"/>
      <c r="R2" s="169" t="str">
        <f>CONCATENATE(R28,"WD3-HV",Capability!$B$1)</f>
        <v>2517WD3-HV620</v>
      </c>
      <c r="S2" s="170"/>
      <c r="U2" s="168"/>
      <c r="V2" s="169" t="str">
        <f>F2</f>
        <v>3775WD3-HV620</v>
      </c>
      <c r="W2" s="170"/>
    </row>
    <row r="3" spans="1:23" ht="16.5" thickBot="1">
      <c r="A3" s="134"/>
      <c r="B3" s="135" t="s">
        <v>128</v>
      </c>
      <c r="C3" s="135" t="s">
        <v>129</v>
      </c>
      <c r="D3" s="135" t="s">
        <v>128</v>
      </c>
      <c r="E3" s="135" t="s">
        <v>129</v>
      </c>
      <c r="F3" s="135" t="s">
        <v>128</v>
      </c>
      <c r="G3" s="135" t="s">
        <v>129</v>
      </c>
      <c r="H3" s="133"/>
      <c r="M3" s="134"/>
      <c r="N3" s="135" t="s">
        <v>128</v>
      </c>
      <c r="O3" s="135" t="s">
        <v>129</v>
      </c>
      <c r="Q3" s="134"/>
      <c r="R3" s="135" t="s">
        <v>128</v>
      </c>
      <c r="S3" s="135" t="s">
        <v>129</v>
      </c>
      <c r="U3" s="134"/>
      <c r="V3" s="135" t="s">
        <v>128</v>
      </c>
      <c r="W3" s="135" t="s">
        <v>129</v>
      </c>
    </row>
    <row r="4" spans="1:23">
      <c r="A4" s="136" t="s">
        <v>130</v>
      </c>
      <c r="B4" s="165">
        <f>ROUNDUP(Capability!$B$1*Vac_to_Vdc+Vdc_offset*IF(Vo&gt;500,IF(Vo&gt;600,0,0.4),1),0)</f>
        <v>887</v>
      </c>
      <c r="C4" s="165" t="s">
        <v>132</v>
      </c>
      <c r="D4" s="165">
        <f>ROUNDUP(Capability!$B$1*Vac_to_Vdc+Vdc_offset*IF(Vo&gt;500,IF(Vo&gt;600,0,0.4),1),0)</f>
        <v>887</v>
      </c>
      <c r="E4" s="165">
        <v>1500</v>
      </c>
      <c r="F4" s="165">
        <f>ROUNDUP(Capability!$B$1*Vac_to_Vdc+Vdc_offset*IF(Vo&gt;500,IF(Vo&gt;600,0,0.4),1),0)</f>
        <v>887</v>
      </c>
      <c r="G4" s="165">
        <v>1500</v>
      </c>
      <c r="H4" s="175"/>
      <c r="M4" s="136" t="s">
        <v>130</v>
      </c>
      <c r="N4" s="165">
        <f>ROUNDUP(Capability!$B$1*Vac_to_Vdc+Vdc_offset*IF(Vo&gt;500,IF(Vo&gt;600,0,0.4),1),0)</f>
        <v>887</v>
      </c>
      <c r="O4" s="165" t="s">
        <v>132</v>
      </c>
      <c r="Q4" s="136" t="s">
        <v>130</v>
      </c>
      <c r="R4" s="165">
        <f>ROUNDUP(Capability!$B$1*Vac_to_Vdc+Vdc_offset*IF(Vo&gt;500,IF(Vo&gt;600,0,0.4),1),0)</f>
        <v>887</v>
      </c>
      <c r="S4" s="165">
        <v>1500</v>
      </c>
      <c r="U4" s="136" t="s">
        <v>130</v>
      </c>
      <c r="V4" s="165">
        <f>ROUNDUP(Capability!$B$1*Vac_to_Vdc+Vdc_offset*IF(Vo&gt;500,IF(Vo&gt;600,0,0.4),1),0)</f>
        <v>887</v>
      </c>
      <c r="W4" s="165">
        <v>1500</v>
      </c>
    </row>
    <row r="5" spans="1:23" ht="15.75" thickBot="1">
      <c r="A5" s="134" t="s">
        <v>131</v>
      </c>
      <c r="B5" s="166"/>
      <c r="C5" s="166"/>
      <c r="D5" s="166"/>
      <c r="E5" s="166"/>
      <c r="F5" s="166"/>
      <c r="G5" s="166"/>
      <c r="H5" s="175"/>
      <c r="M5" s="134" t="s">
        <v>131</v>
      </c>
      <c r="N5" s="166"/>
      <c r="O5" s="166"/>
      <c r="Q5" s="134" t="s">
        <v>131</v>
      </c>
      <c r="R5" s="166"/>
      <c r="S5" s="166"/>
      <c r="U5" s="134" t="s">
        <v>131</v>
      </c>
      <c r="V5" s="166"/>
      <c r="W5" s="166"/>
    </row>
    <row r="6" spans="1:23">
      <c r="A6" s="136" t="s">
        <v>133</v>
      </c>
      <c r="B6" s="165">
        <f>ROUNDUP(Capability!$B$1*Vac_to_Vdc+Vdc_offset*IF(Vo&gt;500,IF(Vo&gt;600,0,0.4),1),0)</f>
        <v>887</v>
      </c>
      <c r="C6" s="165">
        <v>1250</v>
      </c>
      <c r="D6" s="165">
        <f>ROUNDUP(Capability!$B$1*Vac_to_Vdc+Vdc_offset*IF(Vo&gt;500,IF(Vo&gt;600,0,0.4),1),0)</f>
        <v>887</v>
      </c>
      <c r="E6" s="165">
        <v>1250</v>
      </c>
      <c r="F6" s="165">
        <f>ROUNDUP(Capability!$B$1*Vac_to_Vdc+Vdc_offset*IF(Vo&gt;500,IF(Vo&gt;600,0,0.4),1),0)</f>
        <v>887</v>
      </c>
      <c r="G6" s="165">
        <v>1250</v>
      </c>
      <c r="H6" s="175"/>
      <c r="M6" s="136" t="s">
        <v>133</v>
      </c>
      <c r="N6" s="165">
        <f>ROUNDUP(Capability!$B$1*Vac_to_Vdc+Vdc_offset*IF(Vo&gt;500,IF(Vo&gt;600,0,0.4),1),0)</f>
        <v>887</v>
      </c>
      <c r="O6" s="165">
        <v>1250</v>
      </c>
      <c r="Q6" s="136" t="s">
        <v>133</v>
      </c>
      <c r="R6" s="165">
        <f>ROUNDUP(Capability!$B$1*Vac_to_Vdc+Vdc_offset*IF(Vo&gt;500,IF(Vo&gt;600,0,0.4),1),0)</f>
        <v>887</v>
      </c>
      <c r="S6" s="165">
        <v>1250</v>
      </c>
      <c r="U6" s="136" t="s">
        <v>133</v>
      </c>
      <c r="V6" s="165">
        <f>ROUNDUP(Capability!$B$1*Vac_to_Vdc+Vdc_offset*IF(Vo&gt;500,IF(Vo&gt;600,0,0.4),1),0)</f>
        <v>887</v>
      </c>
      <c r="W6" s="165">
        <v>1250</v>
      </c>
    </row>
    <row r="7" spans="1:23" ht="15.75" thickBot="1">
      <c r="A7" s="134" t="s">
        <v>134</v>
      </c>
      <c r="B7" s="166"/>
      <c r="C7" s="166"/>
      <c r="D7" s="166"/>
      <c r="E7" s="166"/>
      <c r="F7" s="166"/>
      <c r="G7" s="166"/>
      <c r="H7" s="175"/>
      <c r="M7" s="134" t="s">
        <v>134</v>
      </c>
      <c r="N7" s="166"/>
      <c r="O7" s="166"/>
      <c r="Q7" s="134" t="s">
        <v>134</v>
      </c>
      <c r="R7" s="166"/>
      <c r="S7" s="166"/>
      <c r="U7" s="134" t="s">
        <v>134</v>
      </c>
      <c r="V7" s="166"/>
      <c r="W7" s="166"/>
    </row>
    <row r="8" spans="1:23" ht="16.5" thickBot="1">
      <c r="A8" s="134" t="s">
        <v>135</v>
      </c>
      <c r="B8" s="160">
        <v>1500</v>
      </c>
      <c r="C8" s="161"/>
      <c r="D8" s="160">
        <v>1500</v>
      </c>
      <c r="E8" s="161"/>
      <c r="F8" s="160">
        <v>1500</v>
      </c>
      <c r="G8" s="161"/>
      <c r="H8" s="133"/>
      <c r="M8" s="134" t="s">
        <v>135</v>
      </c>
      <c r="N8" s="160">
        <v>1500</v>
      </c>
      <c r="O8" s="161"/>
      <c r="Q8" s="134" t="s">
        <v>135</v>
      </c>
      <c r="R8" s="160">
        <v>1500</v>
      </c>
      <c r="S8" s="161"/>
      <c r="U8" s="134" t="s">
        <v>135</v>
      </c>
      <c r="V8" s="160">
        <v>1500</v>
      </c>
      <c r="W8" s="161"/>
    </row>
    <row r="9" spans="1:23" ht="16.5" thickBot="1">
      <c r="A9" s="134" t="s">
        <v>136</v>
      </c>
      <c r="B9" s="160">
        <v>1600</v>
      </c>
      <c r="C9" s="161"/>
      <c r="D9" s="160">
        <f>B9*2</f>
        <v>3200</v>
      </c>
      <c r="E9" s="161"/>
      <c r="F9" s="160">
        <f>B9*3</f>
        <v>4800</v>
      </c>
      <c r="G9" s="161"/>
      <c r="H9" s="133"/>
      <c r="M9" s="134" t="s">
        <v>136</v>
      </c>
      <c r="N9" s="160">
        <v>1600</v>
      </c>
      <c r="O9" s="161"/>
      <c r="Q9" s="134" t="s">
        <v>136</v>
      </c>
      <c r="R9" s="160">
        <f>D9</f>
        <v>3200</v>
      </c>
      <c r="S9" s="161"/>
      <c r="U9" s="134" t="s">
        <v>136</v>
      </c>
      <c r="V9" s="160">
        <f>F9</f>
        <v>4800</v>
      </c>
      <c r="W9" s="161"/>
    </row>
    <row r="10" spans="1:23" ht="16.5" thickBot="1">
      <c r="A10" s="134" t="s">
        <v>137</v>
      </c>
      <c r="B10" s="160">
        <v>1440</v>
      </c>
      <c r="C10" s="161"/>
      <c r="D10" s="160">
        <f>B10*2</f>
        <v>2880</v>
      </c>
      <c r="E10" s="161"/>
      <c r="F10" s="160">
        <f>B10*3</f>
        <v>4320</v>
      </c>
      <c r="G10" s="161"/>
      <c r="H10" s="133"/>
      <c r="M10" s="134" t="s">
        <v>137</v>
      </c>
      <c r="N10" s="160">
        <v>1440</v>
      </c>
      <c r="O10" s="161"/>
      <c r="Q10" s="134" t="s">
        <v>137</v>
      </c>
      <c r="R10" s="160">
        <f>D10</f>
        <v>2880</v>
      </c>
      <c r="S10" s="161"/>
      <c r="U10" s="134" t="s">
        <v>137</v>
      </c>
      <c r="V10" s="160">
        <f>F10</f>
        <v>4320</v>
      </c>
      <c r="W10" s="161"/>
    </row>
    <row r="11" spans="1:23" ht="16.5" thickBot="1">
      <c r="A11" s="134" t="s">
        <v>138</v>
      </c>
      <c r="B11" s="160">
        <v>10000</v>
      </c>
      <c r="C11" s="161"/>
      <c r="D11" s="160" t="s">
        <v>139</v>
      </c>
      <c r="E11" s="161"/>
      <c r="F11" s="160" t="s">
        <v>140</v>
      </c>
      <c r="G11" s="161"/>
      <c r="H11" s="133"/>
      <c r="M11" s="134" t="s">
        <v>138</v>
      </c>
      <c r="N11" s="160">
        <v>10000</v>
      </c>
      <c r="O11" s="161"/>
      <c r="Q11" s="134" t="s">
        <v>138</v>
      </c>
      <c r="R11" s="160" t="s">
        <v>139</v>
      </c>
      <c r="S11" s="161"/>
      <c r="U11" s="134" t="s">
        <v>138</v>
      </c>
      <c r="V11" s="160" t="s">
        <v>140</v>
      </c>
      <c r="W11" s="161"/>
    </row>
    <row r="12" spans="1:23" ht="16.5" thickBot="1">
      <c r="A12" s="137" t="s">
        <v>141</v>
      </c>
      <c r="B12" s="160">
        <v>1</v>
      </c>
      <c r="C12" s="161"/>
      <c r="D12" s="160" t="s">
        <v>142</v>
      </c>
      <c r="E12" s="161"/>
      <c r="F12" s="160" t="s">
        <v>143</v>
      </c>
      <c r="G12" s="161"/>
      <c r="H12" s="133"/>
      <c r="M12" s="137" t="s">
        <v>141</v>
      </c>
      <c r="N12" s="160">
        <v>1</v>
      </c>
      <c r="O12" s="161"/>
      <c r="Q12" s="137" t="s">
        <v>141</v>
      </c>
      <c r="R12" s="160" t="s">
        <v>142</v>
      </c>
      <c r="S12" s="161"/>
      <c r="U12" s="137" t="s">
        <v>141</v>
      </c>
      <c r="V12" s="160" t="s">
        <v>143</v>
      </c>
      <c r="W12" s="161"/>
    </row>
    <row r="13" spans="1:23" ht="16.5" thickBot="1">
      <c r="A13" s="134" t="s">
        <v>144</v>
      </c>
      <c r="B13" s="160" t="s">
        <v>145</v>
      </c>
      <c r="C13" s="162"/>
      <c r="D13" s="162"/>
      <c r="E13" s="162"/>
      <c r="F13" s="162"/>
      <c r="G13" s="161"/>
      <c r="H13" s="133"/>
      <c r="M13" s="134" t="s">
        <v>144</v>
      </c>
      <c r="N13" s="160" t="s">
        <v>145</v>
      </c>
      <c r="O13" s="161"/>
      <c r="Q13" s="134" t="s">
        <v>144</v>
      </c>
      <c r="R13" s="162" t="str">
        <f>N13</f>
        <v>DC load break switch</v>
      </c>
      <c r="S13" s="161"/>
      <c r="U13" s="134" t="s">
        <v>144</v>
      </c>
      <c r="V13" s="162" t="str">
        <f>R13</f>
        <v>DC load break switch</v>
      </c>
      <c r="W13" s="161"/>
    </row>
    <row r="14" spans="1:23" ht="16.5" thickBot="1">
      <c r="A14" s="134" t="s">
        <v>146</v>
      </c>
      <c r="B14" s="160" t="s">
        <v>147</v>
      </c>
      <c r="C14" s="162"/>
      <c r="D14" s="162"/>
      <c r="E14" s="162"/>
      <c r="F14" s="162"/>
      <c r="G14" s="161"/>
      <c r="H14" s="133"/>
      <c r="M14" s="134" t="s">
        <v>146</v>
      </c>
      <c r="N14" s="160" t="s">
        <v>147</v>
      </c>
      <c r="O14" s="161"/>
      <c r="Q14" s="134" t="s">
        <v>146</v>
      </c>
      <c r="R14" s="162" t="str">
        <f>N14</f>
        <v>SPD (type 2)</v>
      </c>
      <c r="S14" s="161"/>
      <c r="U14" s="134" t="s">
        <v>146</v>
      </c>
      <c r="V14" s="162" t="str">
        <f>R14</f>
        <v>SPD (type 2)</v>
      </c>
      <c r="W14" s="161"/>
    </row>
    <row r="15" spans="1:23" ht="16.5" thickBot="1">
      <c r="A15" s="134" t="s">
        <v>148</v>
      </c>
      <c r="B15" s="160" t="s">
        <v>149</v>
      </c>
      <c r="C15" s="161"/>
      <c r="D15" s="160" t="s">
        <v>150</v>
      </c>
      <c r="E15" s="161"/>
      <c r="F15" s="160" t="s">
        <v>151</v>
      </c>
      <c r="G15" s="161"/>
      <c r="H15" s="133"/>
      <c r="M15" s="134" t="s">
        <v>148</v>
      </c>
      <c r="N15" s="160" t="s">
        <v>149</v>
      </c>
      <c r="O15" s="161"/>
      <c r="Q15" s="134" t="s">
        <v>148</v>
      </c>
      <c r="R15" s="160" t="s">
        <v>150</v>
      </c>
      <c r="S15" s="161"/>
      <c r="U15" s="134" t="s">
        <v>148</v>
      </c>
      <c r="V15" s="160" t="s">
        <v>151</v>
      </c>
      <c r="W15" s="161"/>
    </row>
    <row r="16" spans="1:23" ht="16.5" thickBot="1">
      <c r="A16" s="134" t="s">
        <v>152</v>
      </c>
      <c r="B16" s="160" t="s">
        <v>153</v>
      </c>
      <c r="C16" s="162"/>
      <c r="D16" s="162"/>
      <c r="E16" s="162"/>
      <c r="F16" s="162"/>
      <c r="G16" s="161"/>
      <c r="H16" s="133"/>
      <c r="M16" s="134" t="s">
        <v>152</v>
      </c>
      <c r="N16" s="160" t="s">
        <v>153</v>
      </c>
      <c r="O16" s="161"/>
      <c r="Q16" s="134" t="s">
        <v>152</v>
      </c>
      <c r="R16" s="162" t="str">
        <f>N16</f>
        <v>Fuses</v>
      </c>
      <c r="S16" s="161"/>
      <c r="U16" s="134" t="s">
        <v>152</v>
      </c>
      <c r="V16" s="162" t="str">
        <f>R16</f>
        <v>Fuses</v>
      </c>
      <c r="W16" s="161"/>
    </row>
    <row r="17" spans="1:23" ht="16.5" thickBot="1">
      <c r="A17" s="134" t="s">
        <v>154</v>
      </c>
      <c r="B17" s="160" t="s">
        <v>155</v>
      </c>
      <c r="C17" s="162"/>
      <c r="D17" s="162"/>
      <c r="E17" s="162"/>
      <c r="F17" s="162"/>
      <c r="G17" s="161"/>
      <c r="H17" s="133"/>
      <c r="M17" s="134" t="s">
        <v>154</v>
      </c>
      <c r="N17" s="160" t="s">
        <v>155</v>
      </c>
      <c r="O17" s="161"/>
      <c r="Q17" s="134" t="s">
        <v>154</v>
      </c>
      <c r="R17" s="162" t="str">
        <f>N17</f>
        <v>Optional</v>
      </c>
      <c r="S17" s="161"/>
      <c r="U17" s="134" t="s">
        <v>154</v>
      </c>
      <c r="V17" s="162" t="str">
        <f>R17</f>
        <v>Optional</v>
      </c>
      <c r="W17" s="161"/>
    </row>
    <row r="18" spans="1:23" ht="16.5" thickBot="1">
      <c r="A18" s="138" t="s">
        <v>156</v>
      </c>
      <c r="B18" s="173"/>
      <c r="C18" s="173"/>
      <c r="D18" s="173"/>
      <c r="E18" s="173"/>
      <c r="F18" s="173"/>
      <c r="G18" s="173"/>
      <c r="H18" s="133"/>
      <c r="M18" s="138" t="s">
        <v>156</v>
      </c>
      <c r="N18" s="173"/>
      <c r="O18" s="170"/>
      <c r="Q18" s="138" t="s">
        <v>156</v>
      </c>
      <c r="R18" s="173"/>
      <c r="S18" s="170"/>
      <c r="U18" s="138" t="s">
        <v>156</v>
      </c>
      <c r="V18" s="173"/>
      <c r="W18" s="173"/>
    </row>
    <row r="19" spans="1:23" ht="16.5" thickBot="1">
      <c r="A19" s="134" t="s">
        <v>157</v>
      </c>
      <c r="B19" s="160">
        <f>Capability!$B$1</f>
        <v>620</v>
      </c>
      <c r="C19" s="162"/>
      <c r="D19" s="162"/>
      <c r="E19" s="162"/>
      <c r="F19" s="162"/>
      <c r="G19" s="161"/>
      <c r="H19" s="133"/>
      <c r="M19" s="134" t="s">
        <v>157</v>
      </c>
      <c r="N19" s="160">
        <f>Capability!$B$1</f>
        <v>620</v>
      </c>
      <c r="O19" s="161"/>
      <c r="Q19" s="134" t="s">
        <v>157</v>
      </c>
      <c r="R19" s="162">
        <f>N19</f>
        <v>620</v>
      </c>
      <c r="S19" s="161"/>
      <c r="U19" s="134" t="s">
        <v>157</v>
      </c>
      <c r="V19" s="162">
        <f>R19</f>
        <v>620</v>
      </c>
      <c r="W19" s="161"/>
    </row>
    <row r="20" spans="1:23" ht="16.5" thickBot="1">
      <c r="A20" s="134" t="s">
        <v>158</v>
      </c>
      <c r="B20" s="160" t="s">
        <v>159</v>
      </c>
      <c r="C20" s="162"/>
      <c r="D20" s="162"/>
      <c r="E20" s="162"/>
      <c r="F20" s="162"/>
      <c r="G20" s="161"/>
      <c r="H20" s="133"/>
      <c r="M20" s="134" t="s">
        <v>158</v>
      </c>
      <c r="N20" s="160" t="s">
        <v>159</v>
      </c>
      <c r="O20" s="161"/>
      <c r="Q20" s="134" t="s">
        <v>158</v>
      </c>
      <c r="R20" s="162" t="str">
        <f>N20</f>
        <v>90%-110%</v>
      </c>
      <c r="S20" s="161"/>
      <c r="U20" s="134" t="s">
        <v>158</v>
      </c>
      <c r="V20" s="162" t="str">
        <f>R20</f>
        <v>90%-110%</v>
      </c>
      <c r="W20" s="161"/>
    </row>
    <row r="21" spans="1:23" ht="16.5" thickBot="1">
      <c r="A21" s="134" t="s">
        <v>160</v>
      </c>
      <c r="B21" s="160" t="s">
        <v>161</v>
      </c>
      <c r="C21" s="162"/>
      <c r="D21" s="162"/>
      <c r="E21" s="162"/>
      <c r="F21" s="162"/>
      <c r="G21" s="161"/>
      <c r="H21" s="133"/>
      <c r="M21" s="134" t="s">
        <v>160</v>
      </c>
      <c r="N21" s="160" t="s">
        <v>161</v>
      </c>
      <c r="O21" s="161"/>
      <c r="Q21" s="134" t="s">
        <v>160</v>
      </c>
      <c r="R21" s="162" t="str">
        <f>N21</f>
        <v>50-60</v>
      </c>
      <c r="S21" s="161"/>
      <c r="U21" s="134" t="s">
        <v>160</v>
      </c>
      <c r="V21" s="162" t="str">
        <f>R21</f>
        <v>50-60</v>
      </c>
      <c r="W21" s="161"/>
    </row>
    <row r="22" spans="1:23" ht="16.5" thickBot="1">
      <c r="A22" s="134" t="s">
        <v>162</v>
      </c>
      <c r="B22" s="171" t="s">
        <v>163</v>
      </c>
      <c r="C22" s="163"/>
      <c r="D22" s="163"/>
      <c r="E22" s="163"/>
      <c r="F22" s="163"/>
      <c r="G22" s="164"/>
      <c r="H22" s="133"/>
      <c r="M22" s="134" t="s">
        <v>162</v>
      </c>
      <c r="N22" s="171" t="s">
        <v>163</v>
      </c>
      <c r="O22" s="164"/>
      <c r="Q22" s="134" t="s">
        <v>162</v>
      </c>
      <c r="R22" s="163" t="str">
        <f>N22</f>
        <v>f ±3Hz</v>
      </c>
      <c r="S22" s="164"/>
      <c r="U22" s="134" t="s">
        <v>162</v>
      </c>
      <c r="V22" s="163" t="str">
        <f>R22</f>
        <v>f ±3Hz</v>
      </c>
      <c r="W22" s="164"/>
    </row>
    <row r="23" spans="1:23" ht="23.25" thickBot="1">
      <c r="A23" s="137" t="str">
        <f>CONCATENATE("Rated apparent AC power [kVA] @", 9/5*H23+32,"ºF/",H23,"ºC up to ",I23,"Vdc (5)")</f>
        <v>Rated apparent AC power [kVA] @95ºF/35ºC up to 950Vdc (5)</v>
      </c>
      <c r="B23" s="160">
        <f>ROUNDDOWN(Ii_r*J23*K23*Capability!$B$1*SQRT(3)/K_3^2/1000,0)</f>
        <v>1455</v>
      </c>
      <c r="C23" s="161"/>
      <c r="D23" s="160">
        <f>ROUNDDOWN(2*Ii_r*J23*K23*Capability!$B$1*SQRT(3)/K_3^2/1000,0)</f>
        <v>2911</v>
      </c>
      <c r="E23" s="161"/>
      <c r="F23" s="160">
        <f>ROUNDDOWN(3*Ii_r*J23*K23*Capability!$B$1*SQRT(3)/K_3^2/1000,0)</f>
        <v>4367</v>
      </c>
      <c r="G23" s="161"/>
      <c r="H23" s="133">
        <v>35</v>
      </c>
      <c r="I23">
        <v>950</v>
      </c>
      <c r="J23">
        <f>IF(H23&gt;aux!$B$12,(H23-aux!$B$12)/(aux!$B$13-aux!$B$12)*(aux!$C$13-aux!$C$12)+aux!$C$12,IF(H23&gt;aux!$B$11,(H23-aux!$B$11)/(aux!$B$12-aux!$B$11)*(aux!$C$12-aux!$C$11)+aux!$C$11,aux!$C$10))</f>
        <v>1.1161904761904762</v>
      </c>
      <c r="K23">
        <f>IF(I23&gt;aux!$B$20,0,IF(I23&gt;aux!$B$19,(I23-aux!$B$19)*(aux!$C$19-aux!$C$20)/(aux!$B$19-aux!$B$20)+aux!$C$19,IF(I23&gt;aux!$B$18,(aux!$C$18-aux!$C$19)/(aux!$B$18-aux!$B$19)*(I23-aux!$B$18)+aux!$C$18,IF(I23&gt;aux!$B$17,(aux!$C$17-aux!$C$18)/(aux!$B$17-aux!$B$18)*(I23-aux!$B$17)+aux!$C$17,aux!$C$17))))</f>
        <v>1.1499999999999999</v>
      </c>
      <c r="M23" s="137" t="str">
        <f>A23</f>
        <v>Rated apparent AC power [kVA] @95ºF/35ºC up to 950Vdc (5)</v>
      </c>
      <c r="N23" s="160">
        <f>B23</f>
        <v>1455</v>
      </c>
      <c r="O23" s="161"/>
      <c r="Q23" s="137" t="str">
        <f>M23</f>
        <v>Rated apparent AC power [kVA] @95ºF/35ºC up to 950Vdc (5)</v>
      </c>
      <c r="R23" s="160">
        <f>D23</f>
        <v>2911</v>
      </c>
      <c r="S23" s="161"/>
      <c r="U23" s="137" t="str">
        <f>Q23</f>
        <v>Rated apparent AC power [kVA] @95ºF/35ºC up to 950Vdc (5)</v>
      </c>
      <c r="V23" s="160">
        <f>F23</f>
        <v>4367</v>
      </c>
      <c r="W23" s="161"/>
    </row>
    <row r="24" spans="1:23" ht="23.25" thickBot="1">
      <c r="A24" s="137" t="str">
        <f t="shared" ref="A24:A26" si="0">CONCATENATE("Rated apparent AC power [kVA] @", 9/5*H24+32,"ºF/",H24,"ºC up to ",I24,"Vdc (5)")</f>
        <v>Rated apparent AC power [kVA] @95ºF/35ºC up to 1250Vdc (5)</v>
      </c>
      <c r="B24" s="160">
        <f>ROUNDDOWN(Ii_r*J24*K24*Capability!$B$1*SQRT(3)/K_3^2/1000,0)</f>
        <v>1266</v>
      </c>
      <c r="C24" s="161"/>
      <c r="D24" s="160">
        <f>ROUNDDOWN(2*Ii_r*J24*K24*Capability!$B$1*SQRT(3)/K_3^2/1000,0)</f>
        <v>2532</v>
      </c>
      <c r="E24" s="161"/>
      <c r="F24" s="160">
        <f>ROUNDDOWN(3*Ii_r*J24*K24*Capability!$B$1*SQRT(3)/K_3^2/1000,0)</f>
        <v>3798</v>
      </c>
      <c r="G24" s="161"/>
      <c r="H24" s="133">
        <v>35</v>
      </c>
      <c r="I24">
        <v>1250</v>
      </c>
      <c r="J24">
        <f>IF(H24&gt;aux!$B$12,(H24-aux!$B$12)/(aux!$B$13-aux!$B$12)*(aux!$C$13-aux!$C$12)+aux!$C$12,IF(H24&gt;aux!$B$11,(H24-aux!$B$11)/(aux!$B$12-aux!$B$11)*(aux!$C$12-aux!$C$11)+aux!$C$11,aux!$C$10))</f>
        <v>1.1161904761904762</v>
      </c>
      <c r="K24">
        <f>IF(I24&gt;aux!$B$20,0,IF(I24&gt;aux!$B$19,(I24-aux!$B$19)*(aux!$C$19-aux!$C$20)/(aux!$B$19-aux!$B$20)+aux!$C$19,IF(I24&gt;aux!$B$18,(aux!$C$18-aux!$C$19)/(aux!$B$18-aux!$B$19)*(I24-aux!$B$18)+aux!$C$18,IF(I24&gt;aux!$B$17,(aux!$C$17-aux!$C$18)/(aux!$B$17-aux!$B$18)*(I24-aux!$B$17)+aux!$C$17,aux!$C$17))))</f>
        <v>1</v>
      </c>
      <c r="M24" s="137" t="str">
        <f>A24</f>
        <v>Rated apparent AC power [kVA] @95ºF/35ºC up to 1250Vdc (5)</v>
      </c>
      <c r="N24" s="160">
        <f>B24</f>
        <v>1266</v>
      </c>
      <c r="O24" s="161"/>
      <c r="Q24" s="137" t="str">
        <f t="shared" ref="Q24:Q28" si="1">M24</f>
        <v>Rated apparent AC power [kVA] @95ºF/35ºC up to 1250Vdc (5)</v>
      </c>
      <c r="R24" s="160">
        <f>D24</f>
        <v>2532</v>
      </c>
      <c r="S24" s="161"/>
      <c r="U24" s="137" t="str">
        <f t="shared" ref="U24:U28" si="2">Q24</f>
        <v>Rated apparent AC power [kVA] @95ºF/35ºC up to 1250Vdc (5)</v>
      </c>
      <c r="V24" s="160">
        <f>F24</f>
        <v>3798</v>
      </c>
      <c r="W24" s="161"/>
    </row>
    <row r="25" spans="1:23" ht="23.25" thickBot="1">
      <c r="A25" s="137" t="str">
        <f t="shared" si="0"/>
        <v>Rated apparent AC power [kVA] @122ºF/50ºC up to 950Vdc (5)</v>
      </c>
      <c r="B25" s="160">
        <f>ROUNDDOWN(Ii_r*J25*K25*Capability!$B$1*SQRT(3)/K_3^2/1000,0)</f>
        <v>1304</v>
      </c>
      <c r="C25" s="161"/>
      <c r="D25" s="160">
        <f>ROUNDDOWN(2*Ii_r*J25*K25*Capability!$B$1*SQRT(3)/K_3^2/1000,0)</f>
        <v>2608</v>
      </c>
      <c r="E25" s="161"/>
      <c r="F25" s="160">
        <f>ROUNDDOWN(3*Ii_r*J25*K25*Capability!$B$1*SQRT(3)/K_3^2/1000,0)</f>
        <v>3913</v>
      </c>
      <c r="G25" s="161"/>
      <c r="H25" s="133">
        <v>50</v>
      </c>
      <c r="I25">
        <v>950</v>
      </c>
      <c r="J25">
        <f>IF(H25&gt;aux!$B$12,(H25-aux!$B$12)/(aux!$B$13-aux!$B$12)*(aux!$C$13-aux!$C$12)+aux!$C$12,IF(H25&gt;aux!$B$11,(H25-aux!$B$11)/(aux!$B$12-aux!$B$11)*(aux!$C$12-aux!$C$11)+aux!$C$11,aux!$C$10))</f>
        <v>1</v>
      </c>
      <c r="K25">
        <f>IF(I25&gt;aux!$B$20,0,IF(I25&gt;aux!$B$19,(I25-aux!$B$19)*(aux!$C$19-aux!$C$20)/(aux!$B$19-aux!$B$20)+aux!$C$19,IF(I25&gt;aux!$B$18,(aux!$C$18-aux!$C$19)/(aux!$B$18-aux!$B$19)*(I25-aux!$B$18)+aux!$C$18,IF(I25&gt;aux!$B$17,(aux!$C$17-aux!$C$18)/(aux!$B$17-aux!$B$18)*(I25-aux!$B$17)+aux!$C$17,aux!$C$17))))</f>
        <v>1.1499999999999999</v>
      </c>
      <c r="M25" s="137" t="str">
        <f>A25</f>
        <v>Rated apparent AC power [kVA] @122ºF/50ºC up to 950Vdc (5)</v>
      </c>
      <c r="N25" s="160">
        <f>B25</f>
        <v>1304</v>
      </c>
      <c r="O25" s="161"/>
      <c r="Q25" s="137" t="str">
        <f t="shared" si="1"/>
        <v>Rated apparent AC power [kVA] @122ºF/50ºC up to 950Vdc (5)</v>
      </c>
      <c r="R25" s="160">
        <f>D25</f>
        <v>2608</v>
      </c>
      <c r="S25" s="161"/>
      <c r="U25" s="137" t="str">
        <f t="shared" si="2"/>
        <v>Rated apparent AC power [kVA] @122ºF/50ºC up to 950Vdc (5)</v>
      </c>
      <c r="V25" s="160">
        <f>F25</f>
        <v>3913</v>
      </c>
      <c r="W25" s="161"/>
    </row>
    <row r="26" spans="1:23" ht="23.25" thickBot="1">
      <c r="A26" s="137" t="str">
        <f t="shared" si="0"/>
        <v>Rated apparent AC power [kVA] @122ºF/50ºC up to 1250Vdc (5)</v>
      </c>
      <c r="B26" s="160">
        <f>ROUNDDOWN(Ii_r*J26*K26*Capability!$B$1*SQRT(3)/K_3^2/1000,0)</f>
        <v>1134</v>
      </c>
      <c r="C26" s="161"/>
      <c r="D26" s="160">
        <f>ROUNDDOWN(2*Ii_r*J26*K26*Capability!$B$1*SQRT(3)/K_3^2/1000,0)</f>
        <v>2268</v>
      </c>
      <c r="E26" s="161"/>
      <c r="F26" s="160">
        <f>ROUNDDOWN(3*Ii_r*J26*K26*Capability!$B$1*SQRT(3)/K_3^2/1000,0)</f>
        <v>3402</v>
      </c>
      <c r="G26" s="161"/>
      <c r="H26" s="133">
        <v>50</v>
      </c>
      <c r="I26">
        <v>1250</v>
      </c>
      <c r="J26">
        <f>IF(H26&gt;aux!$B$12,(H26-aux!$B$12)/(aux!$B$13-aux!$B$12)*(aux!$C$13-aux!$C$12)+aux!$C$12,IF(H26&gt;aux!$B$11,(H26-aux!$B$11)/(aux!$B$12-aux!$B$11)*(aux!$C$12-aux!$C$11)+aux!$C$11,aux!$C$10))</f>
        <v>1</v>
      </c>
      <c r="K26">
        <f>IF(I26&gt;aux!$B$20,0,IF(I26&gt;aux!$B$19,(I26-aux!$B$19)*(aux!$C$19-aux!$C$20)/(aux!$B$19-aux!$B$20)+aux!$C$19,IF(I26&gt;aux!$B$18,(aux!$C$18-aux!$C$19)/(aux!$B$18-aux!$B$19)*(I26-aux!$B$18)+aux!$C$18,IF(I26&gt;aux!$B$17,(aux!$C$17-aux!$C$18)/(aux!$B$17-aux!$B$18)*(I26-aux!$B$17)+aux!$C$17,aux!$C$17))))</f>
        <v>1</v>
      </c>
      <c r="M26" s="137" t="str">
        <f>A26</f>
        <v>Rated apparent AC power [kVA] @122ºF/50ºC up to 1250Vdc (5)</v>
      </c>
      <c r="N26" s="160">
        <f>B26</f>
        <v>1134</v>
      </c>
      <c r="O26" s="161"/>
      <c r="Q26" s="137" t="str">
        <f t="shared" si="1"/>
        <v>Rated apparent AC power [kVA] @122ºF/50ºC up to 1250Vdc (5)</v>
      </c>
      <c r="R26" s="160">
        <f>D26</f>
        <v>2268</v>
      </c>
      <c r="S26" s="161"/>
      <c r="U26" s="137" t="str">
        <f t="shared" si="2"/>
        <v>Rated apparent AC power [kVA] @122ºF/50ºC up to 1250Vdc (5)</v>
      </c>
      <c r="V26" s="160">
        <f>F26</f>
        <v>3402</v>
      </c>
      <c r="W26" s="161"/>
    </row>
    <row r="27" spans="1:23" ht="23.25" thickBot="1">
      <c r="A27" s="137" t="str">
        <f>CONCATENATE("Rated AC power. Pmax [kW] @ ", 9/5*H26+32,"ºF/",H26,"ºC up to ",I26,"Vdc (5)")</f>
        <v>Rated AC power. Pmax [kW] @ 122ºF/50ºC up to 1250Vdc (5)</v>
      </c>
      <c r="B27" s="160">
        <f>ROUNDDOWN(Ii_r*J27*K27*Capability!$B$1*SQRT(3)/1000,0)</f>
        <v>1447</v>
      </c>
      <c r="C27" s="161"/>
      <c r="D27" s="160">
        <f>ROUNDDOWN(2*Ii_r*J27*K27*Capability!$B$1*SQRT(3)/1000,0)</f>
        <v>2894</v>
      </c>
      <c r="E27" s="161"/>
      <c r="F27" s="160">
        <f>ROUNDDOWN(3*Ii_r*J27*K27*Capability!$B$1*SQRT(3)/1000,0)</f>
        <v>4342</v>
      </c>
      <c r="G27" s="161"/>
      <c r="H27" s="133">
        <v>35</v>
      </c>
      <c r="I27">
        <v>950</v>
      </c>
      <c r="J27">
        <f>IF(H27&gt;aux!$B$12,(H27-aux!$B$12)/(aux!$B$13-aux!$B$12)*(aux!$C$13-aux!$C$12)+aux!$C$12,IF(H27&gt;aux!$B$11,(H27-aux!$B$11)/(aux!$B$12-aux!$B$11)*(aux!$C$12-aux!$C$11)+aux!$C$11,aux!$C$10))</f>
        <v>1.1161904761904762</v>
      </c>
      <c r="K27">
        <f>IF(I27&gt;aux!$B$20,0,IF(I27&gt;aux!$B$19,(I27-aux!$B$19)*(aux!$C$19-aux!$C$20)/(aux!$B$19-aux!$B$20)+aux!$C$19,IF(I27&gt;aux!$B$18,(aux!$C$18-aux!$C$19)/(aux!$B$18-aux!$B$19)*(I27-aux!$B$18)+aux!$C$18,IF(I27&gt;aux!$B$17,(aux!$C$17-aux!$C$18)/(aux!$B$17-aux!$B$18)*(I27-aux!$B$17)+aux!$C$17,aux!$C$17))))</f>
        <v>1.1499999999999999</v>
      </c>
      <c r="M27" s="137" t="str">
        <f>A27</f>
        <v>Rated AC power. Pmax [kW] @ 122ºF/50ºC up to 1250Vdc (5)</v>
      </c>
      <c r="N27" s="160">
        <f>B27</f>
        <v>1447</v>
      </c>
      <c r="O27" s="161"/>
      <c r="Q27" s="137" t="str">
        <f t="shared" si="1"/>
        <v>Rated AC power. Pmax [kW] @ 122ºF/50ºC up to 1250Vdc (5)</v>
      </c>
      <c r="R27" s="160">
        <f>D27</f>
        <v>2894</v>
      </c>
      <c r="S27" s="161"/>
      <c r="U27" s="137" t="str">
        <f t="shared" si="2"/>
        <v>Rated AC power. Pmax [kW] @ 122ºF/50ºC up to 1250Vdc (5)</v>
      </c>
      <c r="V27" s="160">
        <f>F27</f>
        <v>4342</v>
      </c>
      <c r="W27" s="161"/>
    </row>
    <row r="28" spans="1:23" ht="21.75" thickBot="1">
      <c r="A28" s="139" t="str">
        <f>CONCATENATE("Rated AC power. Pmax [kW] @ ", 9/5*H26+32,"ºF/",H26,"ºC up to ",I26,"Vdc (5)")</f>
        <v>Rated AC power. Pmax [kW] @ 122ºF/50ºC up to 1250Vdc (5)</v>
      </c>
      <c r="B28" s="160">
        <f>ROUNDDOWN(Ii_r*J28*K28*Capability!$B$1*SQRT(3)/1000,0)</f>
        <v>1258</v>
      </c>
      <c r="C28" s="161"/>
      <c r="D28" s="160">
        <f>ROUNDDOWN(2*Ii_r*J28*K28*Capability!$B$1*SQRT(3)/1000,0)</f>
        <v>2517</v>
      </c>
      <c r="E28" s="161"/>
      <c r="F28" s="160">
        <f>ROUNDDOWN(3*Ii_r*J28*K28*Capability!$B$1*SQRT(3)/1000,0)</f>
        <v>3775</v>
      </c>
      <c r="G28" s="161"/>
      <c r="H28" s="133">
        <v>35</v>
      </c>
      <c r="I28">
        <v>1250</v>
      </c>
      <c r="J28">
        <f>IF(H28&gt;aux!$B$12,(H28-aux!$B$12)/(aux!$B$13-aux!$B$12)*(aux!$C$13-aux!$C$12)+aux!$C$12,IF(H28&gt;aux!$B$11,(H28-aux!$B$11)/(aux!$B$12-aux!$B$11)*(aux!$C$12-aux!$C$11)+aux!$C$11,aux!$C$10))</f>
        <v>1.1161904761904762</v>
      </c>
      <c r="K28">
        <f>IF(I28&gt;aux!$B$20,0,IF(I28&gt;aux!$B$19,(I28-aux!$B$19)*(aux!$C$19-aux!$C$20)/(aux!$B$19-aux!$B$20)+aux!$C$19,IF(I28&gt;aux!$B$18,(aux!$C$18-aux!$C$19)/(aux!$B$18-aux!$B$19)*(I28-aux!$B$18)+aux!$C$18,IF(I28&gt;aux!$B$17,(aux!$C$17-aux!$C$18)/(aux!$B$17-aux!$B$18)*(I28-aux!$B$17)+aux!$C$17,aux!$C$17))))</f>
        <v>1</v>
      </c>
      <c r="M28" s="139" t="str">
        <f>A28</f>
        <v>Rated AC power. Pmax [kW] @ 122ºF/50ºC up to 1250Vdc (5)</v>
      </c>
      <c r="N28" s="160">
        <f>B28</f>
        <v>1258</v>
      </c>
      <c r="O28" s="161"/>
      <c r="Q28" s="139" t="str">
        <f t="shared" si="1"/>
        <v>Rated AC power. Pmax [kW] @ 122ºF/50ºC up to 1250Vdc (5)</v>
      </c>
      <c r="R28" s="160">
        <f>D28</f>
        <v>2517</v>
      </c>
      <c r="S28" s="161"/>
      <c r="U28" s="139" t="str">
        <f t="shared" si="2"/>
        <v>Rated AC power. Pmax [kW] @ 122ºF/50ºC up to 1250Vdc (5)</v>
      </c>
      <c r="V28" s="160">
        <f>F28</f>
        <v>3775</v>
      </c>
      <c r="W28" s="161"/>
    </row>
    <row r="29" spans="1:23" ht="16.5" thickBot="1">
      <c r="A29" s="134" t="s">
        <v>164</v>
      </c>
      <c r="B29" s="160" t="s">
        <v>165</v>
      </c>
      <c r="C29" s="162"/>
      <c r="D29" s="162"/>
      <c r="E29" s="162"/>
      <c r="F29" s="162"/>
      <c r="G29" s="161"/>
      <c r="H29" s="133"/>
      <c r="M29" s="134" t="s">
        <v>164</v>
      </c>
      <c r="N29" s="160" t="s">
        <v>165</v>
      </c>
      <c r="O29" s="161"/>
      <c r="Q29" s="134" t="s">
        <v>164</v>
      </c>
      <c r="R29" s="162" t="str">
        <f>N29</f>
        <v>&lt;3%</v>
      </c>
      <c r="S29" s="161"/>
      <c r="U29" s="134" t="s">
        <v>164</v>
      </c>
      <c r="V29" s="162" t="str">
        <f>R29</f>
        <v>&lt;3%</v>
      </c>
      <c r="W29" s="161"/>
    </row>
    <row r="30" spans="1:23" ht="16.5" thickBot="1">
      <c r="A30" s="134" t="s">
        <v>166</v>
      </c>
      <c r="B30" s="160" t="s">
        <v>167</v>
      </c>
      <c r="C30" s="162"/>
      <c r="D30" s="162"/>
      <c r="E30" s="162"/>
      <c r="F30" s="162"/>
      <c r="G30" s="161"/>
      <c r="H30" s="133"/>
      <c r="M30" s="134" t="s">
        <v>166</v>
      </c>
      <c r="N30" s="160" t="s">
        <v>167</v>
      </c>
      <c r="O30" s="161"/>
      <c r="Q30" s="134" t="s">
        <v>166</v>
      </c>
      <c r="R30" s="162" t="str">
        <f>N30</f>
        <v>Adjustable</v>
      </c>
      <c r="S30" s="161"/>
      <c r="U30" s="134" t="s">
        <v>166</v>
      </c>
      <c r="V30" s="162" t="str">
        <f>R30</f>
        <v>Adjustable</v>
      </c>
      <c r="W30" s="161"/>
    </row>
    <row r="31" spans="1:23" ht="16.5" thickBot="1">
      <c r="A31" s="134" t="s">
        <v>168</v>
      </c>
      <c r="B31" s="160" t="s">
        <v>169</v>
      </c>
      <c r="C31" s="162"/>
      <c r="D31" s="162"/>
      <c r="E31" s="162"/>
      <c r="F31" s="162"/>
      <c r="G31" s="161"/>
      <c r="H31" s="133"/>
      <c r="M31" s="134" t="s">
        <v>168</v>
      </c>
      <c r="N31" s="160" t="s">
        <v>169</v>
      </c>
      <c r="O31" s="161"/>
      <c r="Q31" s="134" t="s">
        <v>168</v>
      </c>
      <c r="R31" s="162" t="str">
        <f>N31</f>
        <v>Integrated</v>
      </c>
      <c r="S31" s="161"/>
      <c r="U31" s="134" t="s">
        <v>168</v>
      </c>
      <c r="V31" s="162" t="str">
        <f>R31</f>
        <v>Integrated</v>
      </c>
      <c r="W31" s="161"/>
    </row>
    <row r="32" spans="1:23" ht="16.5" thickBot="1">
      <c r="A32" s="134" t="s">
        <v>144</v>
      </c>
      <c r="B32" s="160" t="s">
        <v>170</v>
      </c>
      <c r="C32" s="162"/>
      <c r="D32" s="162"/>
      <c r="E32" s="162"/>
      <c r="F32" s="162"/>
      <c r="G32" s="161"/>
      <c r="H32" s="133"/>
      <c r="M32" s="134" t="s">
        <v>144</v>
      </c>
      <c r="N32" s="160" t="s">
        <v>170</v>
      </c>
      <c r="O32" s="161"/>
      <c r="Q32" s="134" t="s">
        <v>144</v>
      </c>
      <c r="R32" s="162" t="str">
        <f>N32</f>
        <v>AC circuit breaker</v>
      </c>
      <c r="S32" s="161"/>
      <c r="U32" s="134" t="s">
        <v>144</v>
      </c>
      <c r="V32" s="162" t="str">
        <f>R32</f>
        <v>AC circuit breaker</v>
      </c>
      <c r="W32" s="161"/>
    </row>
    <row r="33" spans="1:23" ht="16.5" thickBot="1">
      <c r="A33" s="134" t="s">
        <v>171</v>
      </c>
      <c r="B33" s="160">
        <v>1</v>
      </c>
      <c r="C33" s="161"/>
      <c r="D33" s="160">
        <v>2</v>
      </c>
      <c r="E33" s="161"/>
      <c r="F33" s="160">
        <v>3</v>
      </c>
      <c r="G33" s="161"/>
      <c r="H33" s="133"/>
      <c r="M33" s="134" t="s">
        <v>171</v>
      </c>
      <c r="N33" s="160">
        <v>1</v>
      </c>
      <c r="O33" s="161"/>
      <c r="Q33" s="134" t="s">
        <v>171</v>
      </c>
      <c r="R33" s="160">
        <v>2</v>
      </c>
      <c r="S33" s="161"/>
      <c r="U33" s="134" t="s">
        <v>171</v>
      </c>
      <c r="V33" s="160">
        <v>3</v>
      </c>
      <c r="W33" s="161"/>
    </row>
    <row r="34" spans="1:23" ht="16.5" thickBot="1">
      <c r="A34" s="134" t="s">
        <v>172</v>
      </c>
      <c r="B34" s="160" t="s">
        <v>147</v>
      </c>
      <c r="C34" s="162"/>
      <c r="D34" s="162"/>
      <c r="E34" s="162"/>
      <c r="F34" s="162"/>
      <c r="G34" s="161"/>
      <c r="H34" s="133"/>
      <c r="M34" s="134" t="s">
        <v>172</v>
      </c>
      <c r="N34" s="160" t="s">
        <v>147</v>
      </c>
      <c r="O34" s="161"/>
      <c r="Q34" s="134" t="s">
        <v>172</v>
      </c>
      <c r="R34" s="162" t="str">
        <f>N34</f>
        <v>SPD (type 2)</v>
      </c>
      <c r="S34" s="161"/>
      <c r="U34" s="134" t="s">
        <v>172</v>
      </c>
      <c r="V34" s="162" t="str">
        <f>R34</f>
        <v>SPD (type 2)</v>
      </c>
      <c r="W34" s="161"/>
    </row>
    <row r="35" spans="1:23" ht="15.75" thickBot="1">
      <c r="A35" s="140" t="s">
        <v>173</v>
      </c>
      <c r="B35" s="145"/>
      <c r="C35" s="145"/>
      <c r="D35" s="145"/>
      <c r="E35" s="145"/>
      <c r="F35" s="145"/>
      <c r="G35" s="145"/>
      <c r="M35" s="140" t="s">
        <v>173</v>
      </c>
      <c r="N35" s="145"/>
      <c r="O35" s="146"/>
      <c r="Q35" s="140" t="s">
        <v>173</v>
      </c>
      <c r="R35" s="145"/>
      <c r="S35" s="146"/>
      <c r="U35" s="140" t="s">
        <v>173</v>
      </c>
      <c r="V35" s="145"/>
      <c r="W35" s="145"/>
    </row>
    <row r="36" spans="1:23" ht="16.5" thickBot="1">
      <c r="A36" s="141" t="s">
        <v>174</v>
      </c>
      <c r="B36" s="156" t="str">
        <f>IF(Capability!$B$1&gt;600,"&gt;98.8%",IF(Capability!$B$1&gt;=560,"&gt;98.7%",IF(Capability!$B$1&gt;500,"&gt;98.6%","&gt;98.4%")))</f>
        <v>&gt;98.8%</v>
      </c>
      <c r="C36" s="172"/>
      <c r="D36" s="172"/>
      <c r="E36" s="172"/>
      <c r="F36" s="172"/>
      <c r="G36" s="157"/>
      <c r="H36" s="133"/>
      <c r="M36" s="141" t="s">
        <v>174</v>
      </c>
      <c r="N36" s="156" t="str">
        <f>IF(Capability!$B$1&gt;600,"&gt;98.8%",IF(Capability!$B$1&gt;=560,"&gt;98.7%",IF(Capability!$B$1&gt;500,"&gt;98.6%","&gt;98.4%")))</f>
        <v>&gt;98.8%</v>
      </c>
      <c r="O36" s="157"/>
      <c r="Q36" s="141" t="s">
        <v>174</v>
      </c>
      <c r="R36" s="172" t="str">
        <f>N36</f>
        <v>&gt;98.8%</v>
      </c>
      <c r="S36" s="157"/>
      <c r="U36" s="141" t="s">
        <v>174</v>
      </c>
      <c r="V36" s="172" t="str">
        <f>R36</f>
        <v>&gt;98.8%</v>
      </c>
      <c r="W36" s="157"/>
    </row>
    <row r="37" spans="1:23" ht="16.5" thickBot="1">
      <c r="A37" s="141" t="s">
        <v>175</v>
      </c>
      <c r="B37" s="156" t="str">
        <f>IF(Capability!$B$1&gt;600,"&gt;98.5%",IF(Capability!$B$1&gt;=560,"&gt;98.5%",IF(Capability!$B$1&gt;500,"&gt;98.4%","&gt;98.1%")))</f>
        <v>&gt;98.5%</v>
      </c>
      <c r="C37" s="172"/>
      <c r="D37" s="172"/>
      <c r="E37" s="172"/>
      <c r="F37" s="172"/>
      <c r="G37" s="157"/>
      <c r="H37" s="133"/>
      <c r="M37" s="141" t="s">
        <v>175</v>
      </c>
      <c r="N37" s="156" t="str">
        <f>IF(Capability!$B$1&gt;600,"&gt;98.5%",IF(Capability!$B$1&gt;=560,"&gt;98.5%",IF(Capability!$B$1&gt;500,"&gt;98.4%","&gt;98.1%")))</f>
        <v>&gt;98.5%</v>
      </c>
      <c r="O37" s="157"/>
      <c r="Q37" s="141" t="s">
        <v>175</v>
      </c>
      <c r="R37" s="172" t="str">
        <f>N37</f>
        <v>&gt;98.5%</v>
      </c>
      <c r="S37" s="157"/>
      <c r="U37" s="141" t="s">
        <v>175</v>
      </c>
      <c r="V37" s="172" t="str">
        <f>R37</f>
        <v>&gt;98.5%</v>
      </c>
      <c r="W37" s="157"/>
    </row>
    <row r="38" spans="1:23" ht="16.5" thickBot="1">
      <c r="A38" s="141" t="s">
        <v>176</v>
      </c>
      <c r="B38" s="156" t="str">
        <f>IF(Capability!$B$1&gt;600,"&gt;98.6%",IF(Capability!$B$1&gt;=560,"&gt;98.6%",IF(Capability!$B$1&gt;500,"&gt;98.5%","&gt;98.2%")))</f>
        <v>&gt;98.6%</v>
      </c>
      <c r="C38" s="172"/>
      <c r="D38" s="172"/>
      <c r="E38" s="172"/>
      <c r="F38" s="172"/>
      <c r="G38" s="157"/>
      <c r="H38" s="133"/>
      <c r="M38" s="141" t="s">
        <v>176</v>
      </c>
      <c r="N38" s="156" t="str">
        <f>IF(Capability!$B$1&gt;600,"&gt;98.6%",IF(Capability!$B$1&gt;=560,"&gt;98.6%",IF(Capability!$B$1&gt;500,"&gt;98.5%","&gt;98.2%")))</f>
        <v>&gt;98.6%</v>
      </c>
      <c r="O38" s="157"/>
      <c r="Q38" s="141" t="s">
        <v>176</v>
      </c>
      <c r="R38" s="172" t="str">
        <f>N38</f>
        <v>&gt;98.6%</v>
      </c>
      <c r="S38" s="157"/>
      <c r="U38" s="141" t="s">
        <v>176</v>
      </c>
      <c r="V38" s="172" t="str">
        <f>R38</f>
        <v>&gt;98.6%</v>
      </c>
      <c r="W38" s="157"/>
    </row>
    <row r="39" spans="1:23" ht="16.5" thickBot="1">
      <c r="A39" s="141" t="s">
        <v>177</v>
      </c>
      <c r="B39" s="156" t="s">
        <v>178</v>
      </c>
      <c r="C39" s="157"/>
      <c r="D39" s="158" t="s">
        <v>179</v>
      </c>
      <c r="E39" s="159"/>
      <c r="F39" s="158" t="s">
        <v>180</v>
      </c>
      <c r="G39" s="159"/>
      <c r="H39" s="133"/>
      <c r="M39" s="141" t="s">
        <v>177</v>
      </c>
      <c r="N39" s="156" t="s">
        <v>178</v>
      </c>
      <c r="O39" s="157"/>
      <c r="Q39" s="141" t="s">
        <v>177</v>
      </c>
      <c r="R39" s="158" t="s">
        <v>179</v>
      </c>
      <c r="S39" s="159"/>
      <c r="U39" s="141" t="s">
        <v>177</v>
      </c>
      <c r="V39" s="158" t="s">
        <v>180</v>
      </c>
      <c r="W39" s="159"/>
    </row>
    <row r="40" spans="1:23" ht="16.5" thickBot="1">
      <c r="A40" s="141" t="s">
        <v>181</v>
      </c>
      <c r="B40" s="156" t="s">
        <v>182</v>
      </c>
      <c r="C40" s="157"/>
      <c r="D40" s="156" t="s">
        <v>183</v>
      </c>
      <c r="E40" s="157"/>
      <c r="F40" s="156" t="s">
        <v>184</v>
      </c>
      <c r="G40" s="157"/>
      <c r="H40" s="133"/>
      <c r="M40" s="141" t="s">
        <v>181</v>
      </c>
      <c r="N40" s="156" t="s">
        <v>182</v>
      </c>
      <c r="O40" s="157"/>
      <c r="Q40" s="141" t="s">
        <v>181</v>
      </c>
      <c r="R40" s="156" t="s">
        <v>183</v>
      </c>
      <c r="S40" s="157"/>
      <c r="U40" s="141" t="s">
        <v>181</v>
      </c>
      <c r="V40" s="156" t="s">
        <v>184</v>
      </c>
      <c r="W40" s="157"/>
    </row>
    <row r="41" spans="1:23" ht="23.25" thickBot="1">
      <c r="A41" s="142" t="s">
        <v>185</v>
      </c>
      <c r="B41" s="156" t="s">
        <v>186</v>
      </c>
      <c r="C41" s="157"/>
      <c r="D41" s="156" t="s">
        <v>187</v>
      </c>
      <c r="E41" s="157"/>
      <c r="F41" s="156" t="s">
        <v>188</v>
      </c>
      <c r="G41" s="157"/>
      <c r="H41" s="133"/>
      <c r="M41" s="142" t="s">
        <v>185</v>
      </c>
      <c r="N41" s="156" t="s">
        <v>186</v>
      </c>
      <c r="O41" s="157"/>
      <c r="Q41" s="142" t="s">
        <v>185</v>
      </c>
      <c r="R41" s="156" t="s">
        <v>187</v>
      </c>
      <c r="S41" s="157"/>
      <c r="U41" s="142" t="s">
        <v>185</v>
      </c>
      <c r="V41" s="156" t="s">
        <v>188</v>
      </c>
      <c r="W41" s="157"/>
    </row>
    <row r="42" spans="1:23" ht="23.25" thickBot="1">
      <c r="A42" s="142" t="s">
        <v>189</v>
      </c>
      <c r="B42" s="156" t="s">
        <v>187</v>
      </c>
      <c r="C42" s="157"/>
      <c r="D42" s="156" t="s">
        <v>188</v>
      </c>
      <c r="E42" s="157"/>
      <c r="F42" s="156" t="s">
        <v>190</v>
      </c>
      <c r="G42" s="157"/>
      <c r="H42" s="133"/>
      <c r="M42" s="142" t="s">
        <v>189</v>
      </c>
      <c r="N42" s="156" t="s">
        <v>187</v>
      </c>
      <c r="O42" s="157"/>
      <c r="Q42" s="142" t="s">
        <v>189</v>
      </c>
      <c r="R42" s="156" t="s">
        <v>188</v>
      </c>
      <c r="S42" s="157"/>
      <c r="U42" s="142" t="s">
        <v>189</v>
      </c>
      <c r="V42" s="156" t="s">
        <v>190</v>
      </c>
      <c r="W42" s="157"/>
    </row>
    <row r="43" spans="1:23" ht="16.5" thickBot="1">
      <c r="A43" s="148" t="s">
        <v>191</v>
      </c>
      <c r="B43" s="148"/>
      <c r="C43" s="148"/>
      <c r="D43" s="148"/>
      <c r="E43" s="148"/>
      <c r="F43" s="148"/>
      <c r="G43" s="148"/>
      <c r="H43" s="133"/>
      <c r="M43" s="140" t="s">
        <v>191</v>
      </c>
      <c r="N43" s="145"/>
      <c r="O43" s="146"/>
      <c r="Q43" s="140" t="s">
        <v>191</v>
      </c>
      <c r="R43" s="145"/>
      <c r="S43" s="146"/>
      <c r="U43" s="140" t="s">
        <v>191</v>
      </c>
      <c r="V43" s="145"/>
      <c r="W43" s="146"/>
    </row>
    <row r="44" spans="1:23" ht="15.75">
      <c r="A44" s="174" t="s">
        <v>192</v>
      </c>
      <c r="B44" s="174"/>
      <c r="C44" s="174"/>
      <c r="D44" s="174"/>
      <c r="E44" s="174"/>
      <c r="F44" s="174"/>
      <c r="G44" s="174"/>
      <c r="H44" s="133"/>
      <c r="M44" s="147" t="s">
        <v>192</v>
      </c>
      <c r="N44" s="148"/>
      <c r="O44" s="149"/>
      <c r="Q44" s="147" t="s">
        <v>192</v>
      </c>
      <c r="R44" s="148"/>
      <c r="S44" s="149"/>
      <c r="U44" s="147" t="s">
        <v>192</v>
      </c>
      <c r="V44" s="148"/>
      <c r="W44" s="149"/>
    </row>
    <row r="45" spans="1:23" ht="15.75">
      <c r="A45" s="174" t="s">
        <v>193</v>
      </c>
      <c r="B45" s="174"/>
      <c r="C45" s="174"/>
      <c r="D45" s="174"/>
      <c r="E45" s="174"/>
      <c r="F45" s="174"/>
      <c r="G45" s="174"/>
      <c r="H45" s="133"/>
      <c r="M45" s="150" t="s">
        <v>193</v>
      </c>
      <c r="N45" s="151"/>
      <c r="O45" s="152"/>
      <c r="Q45" s="150" t="s">
        <v>193</v>
      </c>
      <c r="R45" s="151"/>
      <c r="S45" s="152"/>
      <c r="U45" s="150" t="s">
        <v>193</v>
      </c>
      <c r="V45" s="151"/>
      <c r="W45" s="152"/>
    </row>
    <row r="46" spans="1:23" ht="15.75">
      <c r="A46" s="174" t="s">
        <v>194</v>
      </c>
      <c r="B46" s="174"/>
      <c r="C46" s="174"/>
      <c r="D46" s="174"/>
      <c r="E46" s="174"/>
      <c r="F46" s="174"/>
      <c r="G46" s="174"/>
      <c r="H46" s="133"/>
      <c r="M46" s="150" t="s">
        <v>194</v>
      </c>
      <c r="N46" s="151"/>
      <c r="O46" s="152"/>
      <c r="Q46" s="150" t="s">
        <v>194</v>
      </c>
      <c r="R46" s="151"/>
      <c r="S46" s="152"/>
      <c r="U46" s="150" t="s">
        <v>194</v>
      </c>
      <c r="V46" s="151"/>
      <c r="W46" s="152"/>
    </row>
    <row r="47" spans="1:23" ht="15.75">
      <c r="A47" s="174" t="s">
        <v>195</v>
      </c>
      <c r="B47" s="174"/>
      <c r="C47" s="174"/>
      <c r="D47" s="174"/>
      <c r="E47" s="174"/>
      <c r="F47" s="174"/>
      <c r="G47" s="174"/>
      <c r="H47" s="133"/>
      <c r="M47" s="150" t="s">
        <v>195</v>
      </c>
      <c r="N47" s="151"/>
      <c r="O47" s="152"/>
      <c r="Q47" s="150" t="s">
        <v>195</v>
      </c>
      <c r="R47" s="151"/>
      <c r="S47" s="152"/>
      <c r="U47" s="150" t="s">
        <v>195</v>
      </c>
      <c r="V47" s="151"/>
      <c r="W47" s="152"/>
    </row>
    <row r="48" spans="1:23" ht="15.75">
      <c r="A48" s="174" t="s">
        <v>196</v>
      </c>
      <c r="B48" s="174"/>
      <c r="C48" s="174"/>
      <c r="D48" s="174"/>
      <c r="E48" s="174"/>
      <c r="F48" s="174"/>
      <c r="G48" s="174"/>
      <c r="H48" s="133"/>
      <c r="M48" s="150" t="s">
        <v>196</v>
      </c>
      <c r="N48" s="151"/>
      <c r="O48" s="152"/>
      <c r="Q48" s="150" t="s">
        <v>196</v>
      </c>
      <c r="R48" s="151"/>
      <c r="S48" s="152"/>
      <c r="U48" s="150" t="s">
        <v>196</v>
      </c>
      <c r="V48" s="151"/>
      <c r="W48" s="152"/>
    </row>
    <row r="49" spans="1:23" ht="22.5" customHeight="1">
      <c r="A49" s="174" t="s">
        <v>197</v>
      </c>
      <c r="B49" s="174"/>
      <c r="C49" s="174"/>
      <c r="D49" s="174"/>
      <c r="E49" s="174"/>
      <c r="F49" s="174"/>
      <c r="G49" s="174"/>
      <c r="H49" s="133"/>
      <c r="M49" s="150" t="s">
        <v>197</v>
      </c>
      <c r="N49" s="151"/>
      <c r="O49" s="152"/>
      <c r="Q49" s="150" t="s">
        <v>197</v>
      </c>
      <c r="R49" s="151"/>
      <c r="S49" s="152"/>
      <c r="U49" s="150" t="s">
        <v>197</v>
      </c>
      <c r="V49" s="151"/>
      <c r="W49" s="152"/>
    </row>
    <row r="50" spans="1:23" ht="22.5" customHeight="1" thickBot="1">
      <c r="A50" s="174" t="s">
        <v>198</v>
      </c>
      <c r="B50" s="174"/>
      <c r="C50" s="174"/>
      <c r="D50" s="174"/>
      <c r="E50" s="174"/>
      <c r="F50" s="174"/>
      <c r="G50" s="174"/>
      <c r="H50" s="133"/>
      <c r="M50" s="153" t="s">
        <v>198</v>
      </c>
      <c r="N50" s="154"/>
      <c r="O50" s="155"/>
      <c r="Q50" s="153" t="s">
        <v>198</v>
      </c>
      <c r="R50" s="154"/>
      <c r="S50" s="155"/>
      <c r="U50" s="153" t="s">
        <v>198</v>
      </c>
      <c r="V50" s="154"/>
      <c r="W50" s="155"/>
    </row>
    <row r="51" spans="1:23">
      <c r="A51" s="143"/>
      <c r="M51" s="143"/>
    </row>
    <row r="52" spans="1:23">
      <c r="A52" s="144"/>
      <c r="M52" s="144"/>
    </row>
  </sheetData>
  <mergeCells count="248">
    <mergeCell ref="A1:A2"/>
    <mergeCell ref="B1:C1"/>
    <mergeCell ref="D1:E1"/>
    <mergeCell ref="F1:G1"/>
    <mergeCell ref="B2:C2"/>
    <mergeCell ref="D2:E2"/>
    <mergeCell ref="F2:G2"/>
    <mergeCell ref="H4:H5"/>
    <mergeCell ref="B6:B7"/>
    <mergeCell ref="C6:C7"/>
    <mergeCell ref="D6:D7"/>
    <mergeCell ref="E6:E7"/>
    <mergeCell ref="F6:F7"/>
    <mergeCell ref="G6:G7"/>
    <mergeCell ref="H6:H7"/>
    <mergeCell ref="B4:B5"/>
    <mergeCell ref="C4:C5"/>
    <mergeCell ref="D4:D5"/>
    <mergeCell ref="E4:E5"/>
    <mergeCell ref="F4:F5"/>
    <mergeCell ref="G4:G5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22:G22"/>
    <mergeCell ref="B23:C23"/>
    <mergeCell ref="D23:E23"/>
    <mergeCell ref="F23:G23"/>
    <mergeCell ref="B24:C24"/>
    <mergeCell ref="D24:E24"/>
    <mergeCell ref="F24:G24"/>
    <mergeCell ref="B21:G21"/>
    <mergeCell ref="B12:C12"/>
    <mergeCell ref="D12:E12"/>
    <mergeCell ref="F12:G12"/>
    <mergeCell ref="B13:G13"/>
    <mergeCell ref="B14:G14"/>
    <mergeCell ref="B15:C15"/>
    <mergeCell ref="D15:E15"/>
    <mergeCell ref="F15:G15"/>
    <mergeCell ref="B18:G18"/>
    <mergeCell ref="B16:G16"/>
    <mergeCell ref="B17:G17"/>
    <mergeCell ref="B19:G19"/>
    <mergeCell ref="B20:G20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39:C39"/>
    <mergeCell ref="D39:E39"/>
    <mergeCell ref="F39:G39"/>
    <mergeCell ref="B29:G29"/>
    <mergeCell ref="B30:G30"/>
    <mergeCell ref="B31:G31"/>
    <mergeCell ref="B32:G32"/>
    <mergeCell ref="B33:C33"/>
    <mergeCell ref="D33:E33"/>
    <mergeCell ref="F33:G33"/>
    <mergeCell ref="B35:G35"/>
    <mergeCell ref="B34:G34"/>
    <mergeCell ref="B36:G36"/>
    <mergeCell ref="B37:G37"/>
    <mergeCell ref="B38:G38"/>
    <mergeCell ref="A46:G46"/>
    <mergeCell ref="A47:G47"/>
    <mergeCell ref="A48:G48"/>
    <mergeCell ref="A49:G49"/>
    <mergeCell ref="A50:G50"/>
    <mergeCell ref="A45:G45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A43:G43"/>
    <mergeCell ref="A44:G44"/>
    <mergeCell ref="R26:S26"/>
    <mergeCell ref="R27:S27"/>
    <mergeCell ref="R24:S24"/>
    <mergeCell ref="R25:S25"/>
    <mergeCell ref="N18:O18"/>
    <mergeCell ref="N41:O41"/>
    <mergeCell ref="N42:O42"/>
    <mergeCell ref="N39:O39"/>
    <mergeCell ref="N40:O40"/>
    <mergeCell ref="N33:O33"/>
    <mergeCell ref="N28:O28"/>
    <mergeCell ref="N26:O26"/>
    <mergeCell ref="N27:O27"/>
    <mergeCell ref="N24:O24"/>
    <mergeCell ref="N25:O25"/>
    <mergeCell ref="R39:S39"/>
    <mergeCell ref="R40:S40"/>
    <mergeCell ref="N34:O34"/>
    <mergeCell ref="N35:O35"/>
    <mergeCell ref="N36:O36"/>
    <mergeCell ref="N37:O37"/>
    <mergeCell ref="N38:O38"/>
    <mergeCell ref="N31:O31"/>
    <mergeCell ref="N32:O32"/>
    <mergeCell ref="N30:O30"/>
    <mergeCell ref="M50:O50"/>
    <mergeCell ref="M45:O45"/>
    <mergeCell ref="M46:O46"/>
    <mergeCell ref="M47:O47"/>
    <mergeCell ref="M48:O48"/>
    <mergeCell ref="M49:O49"/>
    <mergeCell ref="M44:O44"/>
    <mergeCell ref="R41:S41"/>
    <mergeCell ref="R42:S42"/>
    <mergeCell ref="N43:O43"/>
    <mergeCell ref="R43:S43"/>
    <mergeCell ref="Q44:S44"/>
    <mergeCell ref="Q45:S45"/>
    <mergeCell ref="Q46:S46"/>
    <mergeCell ref="Q47:S47"/>
    <mergeCell ref="Q48:S48"/>
    <mergeCell ref="Q49:S49"/>
    <mergeCell ref="Q50:S50"/>
    <mergeCell ref="M1:M2"/>
    <mergeCell ref="N1:O1"/>
    <mergeCell ref="N2:O2"/>
    <mergeCell ref="R34:S34"/>
    <mergeCell ref="R35:S35"/>
    <mergeCell ref="R36:S36"/>
    <mergeCell ref="R37:S37"/>
    <mergeCell ref="R38:S38"/>
    <mergeCell ref="V34:W34"/>
    <mergeCell ref="V35:W35"/>
    <mergeCell ref="V36:W36"/>
    <mergeCell ref="V37:W37"/>
    <mergeCell ref="V38:W38"/>
    <mergeCell ref="R31:S31"/>
    <mergeCell ref="R32:S32"/>
    <mergeCell ref="R33:S33"/>
    <mergeCell ref="V32:W32"/>
    <mergeCell ref="V33:W33"/>
    <mergeCell ref="R29:S29"/>
    <mergeCell ref="R30:S30"/>
    <mergeCell ref="R18:S18"/>
    <mergeCell ref="V18:W18"/>
    <mergeCell ref="R28:S28"/>
    <mergeCell ref="N29:O29"/>
    <mergeCell ref="Q1:Q2"/>
    <mergeCell ref="R1:S1"/>
    <mergeCell ref="R2:S2"/>
    <mergeCell ref="N19:O19"/>
    <mergeCell ref="N20:O20"/>
    <mergeCell ref="N21:O21"/>
    <mergeCell ref="N22:O22"/>
    <mergeCell ref="N23:O23"/>
    <mergeCell ref="N15:O15"/>
    <mergeCell ref="N16:O16"/>
    <mergeCell ref="N17:O17"/>
    <mergeCell ref="N12:O12"/>
    <mergeCell ref="N13:O13"/>
    <mergeCell ref="N14:O14"/>
    <mergeCell ref="N10:O10"/>
    <mergeCell ref="N11:O11"/>
    <mergeCell ref="N8:O8"/>
    <mergeCell ref="N9:O9"/>
    <mergeCell ref="N6:N7"/>
    <mergeCell ref="O6:O7"/>
    <mergeCell ref="N4:N5"/>
    <mergeCell ref="O4:O5"/>
    <mergeCell ref="R12:S12"/>
    <mergeCell ref="R13:S13"/>
    <mergeCell ref="R14:S14"/>
    <mergeCell ref="R10:S10"/>
    <mergeCell ref="R11:S11"/>
    <mergeCell ref="R8:S8"/>
    <mergeCell ref="R9:S9"/>
    <mergeCell ref="R4:R5"/>
    <mergeCell ref="S4:S5"/>
    <mergeCell ref="R6:R7"/>
    <mergeCell ref="S6:S7"/>
    <mergeCell ref="R19:S19"/>
    <mergeCell ref="R20:S20"/>
    <mergeCell ref="R21:S21"/>
    <mergeCell ref="R22:S22"/>
    <mergeCell ref="R23:S23"/>
    <mergeCell ref="R15:S15"/>
    <mergeCell ref="R16:S16"/>
    <mergeCell ref="R17:S17"/>
    <mergeCell ref="V16:W16"/>
    <mergeCell ref="V17:W17"/>
    <mergeCell ref="V10:W10"/>
    <mergeCell ref="V11:W11"/>
    <mergeCell ref="V8:W8"/>
    <mergeCell ref="V9:W9"/>
    <mergeCell ref="W4:W5"/>
    <mergeCell ref="V6:V7"/>
    <mergeCell ref="W6:W7"/>
    <mergeCell ref="V4:V5"/>
    <mergeCell ref="U1:U2"/>
    <mergeCell ref="V1:W1"/>
    <mergeCell ref="V2:W2"/>
    <mergeCell ref="V19:W19"/>
    <mergeCell ref="V20:W20"/>
    <mergeCell ref="V21:W21"/>
    <mergeCell ref="V22:W22"/>
    <mergeCell ref="V23:W23"/>
    <mergeCell ref="V12:W12"/>
    <mergeCell ref="V13:W13"/>
    <mergeCell ref="V14:W14"/>
    <mergeCell ref="V15:W15"/>
    <mergeCell ref="V39:W39"/>
    <mergeCell ref="V40:W40"/>
    <mergeCell ref="V28:W28"/>
    <mergeCell ref="V29:W29"/>
    <mergeCell ref="V30:W30"/>
    <mergeCell ref="V31:W31"/>
    <mergeCell ref="V26:W26"/>
    <mergeCell ref="V27:W27"/>
    <mergeCell ref="V24:W24"/>
    <mergeCell ref="V25:W25"/>
    <mergeCell ref="V43:W43"/>
    <mergeCell ref="U44:W44"/>
    <mergeCell ref="U45:W45"/>
    <mergeCell ref="U46:W46"/>
    <mergeCell ref="U47:W47"/>
    <mergeCell ref="U48:W48"/>
    <mergeCell ref="U49:W49"/>
    <mergeCell ref="U50:W50"/>
    <mergeCell ref="V41:W41"/>
    <mergeCell ref="V42:W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"/>
  <sheetViews>
    <sheetView zoomScale="85" zoomScaleNormal="85" workbookViewId="0">
      <selection activeCell="B9" sqref="B9"/>
    </sheetView>
  </sheetViews>
  <sheetFormatPr baseColWidth="10" defaultColWidth="9.140625" defaultRowHeight="15"/>
  <cols>
    <col min="1" max="1" width="28.140625" customWidth="1"/>
    <col min="2" max="2" width="14.5703125" bestFit="1" customWidth="1"/>
    <col min="3" max="3" width="17.42578125" bestFit="1" customWidth="1"/>
    <col min="4" max="4" width="12.42578125" bestFit="1" customWidth="1"/>
    <col min="5" max="5" width="12" bestFit="1" customWidth="1"/>
    <col min="6" max="6" width="12.42578125" customWidth="1"/>
    <col min="8" max="8" width="14.7109375" hidden="1" customWidth="1"/>
    <col min="9" max="9" width="15.5703125" hidden="1" customWidth="1"/>
    <col min="10" max="10" width="11.85546875" hidden="1" customWidth="1"/>
    <col min="11" max="11" width="15.7109375" hidden="1" customWidth="1"/>
    <col min="12" max="12" width="14.7109375" hidden="1" customWidth="1"/>
    <col min="13" max="14" width="11.7109375" bestFit="1" customWidth="1"/>
    <col min="15" max="15" width="11.7109375" hidden="1" customWidth="1"/>
    <col min="16" max="16" width="11.85546875" hidden="1" customWidth="1"/>
    <col min="17" max="17" width="11.7109375" bestFit="1" customWidth="1"/>
    <col min="18" max="18" width="9.28515625" bestFit="1" customWidth="1"/>
    <col min="19" max="19" width="10.85546875" bestFit="1" customWidth="1"/>
    <col min="21" max="21" width="9.42578125" customWidth="1"/>
    <col min="22" max="22" width="9.7109375" customWidth="1"/>
    <col min="26" max="26" width="9.28515625" customWidth="1"/>
    <col min="27" max="27" width="9.85546875" customWidth="1"/>
  </cols>
  <sheetData>
    <row r="1" spans="1:22" ht="15.75" thickBot="1">
      <c r="A1" s="3" t="s">
        <v>70</v>
      </c>
      <c r="B1" s="6">
        <v>620</v>
      </c>
      <c r="G1" s="50"/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14</v>
      </c>
      <c r="O1" s="2" t="s">
        <v>18</v>
      </c>
      <c r="P1" s="2" t="s">
        <v>19</v>
      </c>
      <c r="Q1" s="2" t="s">
        <v>13</v>
      </c>
      <c r="R1" s="2" t="s">
        <v>12</v>
      </c>
      <c r="U1" s="51"/>
    </row>
    <row r="2" spans="1:22" ht="16.5" thickTop="1" thickBot="1">
      <c r="A2" s="3" t="s">
        <v>71</v>
      </c>
      <c r="B2" s="6">
        <v>1</v>
      </c>
      <c r="C2" s="50"/>
      <c r="F2" t="s">
        <v>20</v>
      </c>
      <c r="G2" s="15">
        <v>3750</v>
      </c>
      <c r="H2" s="1">
        <f>G2*1000</f>
        <v>3750000</v>
      </c>
      <c r="I2" s="8">
        <f>Nm*(SQRT(IF(3/K_3^2*Ii^2*Vo^2-(H2/Nm)^2&lt;0.0000000001,0,3/K_3^2*Ii^2*Vo^2-(H2/Nm)^2))+Vo^2/K_3*K_4)</f>
        <v>1868166.1256317445</v>
      </c>
      <c r="J2" s="11">
        <f t="shared" ref="J2:J44" si="0">SQRT(3)*SQRT((Vo/SQRT(3)*K_1+SQRT(H2^2+I2^2)/SQRT(3)/Vo/Nm*I2/SQRT(H2^2+I2^2)*K_2)^2+(SQRT(H2^2+I2^2)/SQRT(3)/Vo/Nm*H2/SQRT(H2^2+I2^2)*K_2)^2)</f>
        <v>666.47532075623133</v>
      </c>
      <c r="K2" s="1">
        <f>Nm*(SQRT(Vi^2*Vo^2/K_2^2-(H2/Nm)^2)-Vo^2*K_1/K_2)</f>
        <v>1825941.4535205401</v>
      </c>
      <c r="L2" s="1">
        <f>IF(ABS(I2)&lt;ABS(K2),I2,K2)</f>
        <v>1825941.4535205401</v>
      </c>
      <c r="M2" s="13">
        <f>H2/1000</f>
        <v>3750</v>
      </c>
      <c r="N2" s="13">
        <f t="shared" ref="N2:N33" si="1">L2/1000</f>
        <v>1825.9414535205401</v>
      </c>
      <c r="O2" s="13">
        <f t="shared" ref="O2:O33" si="2">I2/1000</f>
        <v>1868.1661256317445</v>
      </c>
      <c r="P2" s="13">
        <f t="shared" ref="P2:P33" si="3">J2*1.43+10</f>
        <v>963.05970868141071</v>
      </c>
      <c r="Q2" s="13">
        <f t="shared" ref="Q2:Q33" si="4">SQRT(M2^2+N2^2)</f>
        <v>4170.9186268356643</v>
      </c>
      <c r="R2" s="9">
        <f t="shared" ref="R2:R33" si="5">M2/SQRT(M2^2+N2^2)</f>
        <v>0.89908251287199026</v>
      </c>
      <c r="S2" s="10" t="s">
        <v>15</v>
      </c>
    </row>
    <row r="3" spans="1:22" ht="16.5" thickTop="1" thickBot="1">
      <c r="A3" s="21" t="s">
        <v>67</v>
      </c>
      <c r="B3" s="21">
        <f>$B$1*B2</f>
        <v>620</v>
      </c>
      <c r="F3" t="s">
        <v>21</v>
      </c>
      <c r="G3" s="15">
        <v>2846</v>
      </c>
      <c r="H3" s="1">
        <f>G3*1000</f>
        <v>2846000</v>
      </c>
      <c r="I3" s="8">
        <f>Nm*(-SQRT(IF(3/K_3^2*Ii^2*Vo^2-(H3/Nm)^2&lt;0.0000000001,0,3/K_3^2*Ii^2*Vo^2-(H3/Nm)^2))+Vo^2/K_3*K_4)</f>
        <v>-2394824.3571095341</v>
      </c>
      <c r="J3" s="12">
        <f t="shared" si="0"/>
        <v>552.93135031179384</v>
      </c>
      <c r="K3" s="1">
        <f>Nm*(-SQRT(Vi^2*Vo^2/K_2^2-(H3/Nm)^2)-Vo^2*K_1/K_2)</f>
        <v>-48695324.700874001</v>
      </c>
      <c r="L3" s="1">
        <f>IF(ABS(I3)&lt;ABS(K3),I3,K3)</f>
        <v>-2394824.3571095341</v>
      </c>
      <c r="M3" s="13">
        <f>H3/1000</f>
        <v>2846</v>
      </c>
      <c r="N3" s="13">
        <f t="shared" si="1"/>
        <v>-2394.824357109534</v>
      </c>
      <c r="O3" s="13">
        <f t="shared" si="2"/>
        <v>-2394.824357109534</v>
      </c>
      <c r="P3" s="13">
        <f t="shared" si="3"/>
        <v>800.69183094586515</v>
      </c>
      <c r="Q3" s="13">
        <f t="shared" si="4"/>
        <v>3719.529500004684</v>
      </c>
      <c r="R3" s="9">
        <f t="shared" si="5"/>
        <v>0.76515053852817028</v>
      </c>
      <c r="S3" s="10" t="s">
        <v>16</v>
      </c>
    </row>
    <row r="4" spans="1:22" ht="15.75" thickTop="1">
      <c r="A4" s="3" t="s">
        <v>11</v>
      </c>
      <c r="B4" s="6">
        <v>3</v>
      </c>
      <c r="F4" s="16"/>
      <c r="G4" s="49"/>
      <c r="H4" s="53">
        <f>0</f>
        <v>0</v>
      </c>
      <c r="I4" s="53">
        <f t="shared" ref="I4:I36" si="6">Nm*(SQRT(IF(3/K_3^2*Ii^2*Vo^2-(H4/Nm)^2&lt;0.0000000001,0,3/K_3^2*Ii^2*Vo^2-(H4/Nm)^2))+Vo^2/K_3*K_4)</f>
        <v>4450198.7964843009</v>
      </c>
      <c r="J4" s="53">
        <f t="shared" si="0"/>
        <v>726.67072918381211</v>
      </c>
      <c r="K4" s="53">
        <f t="shared" ref="K4:K36" si="7">Nm*(SQRT(Vi^2*Vo^2/K_2^2-(H4/Nm)^2)-Vo^2*K_1/K_2)</f>
        <v>2103413.8700017165</v>
      </c>
      <c r="L4" s="53">
        <f>IF(ABS(I4)&lt;ABS(K4),I4,K4)</f>
        <v>2103413.8700017165</v>
      </c>
      <c r="M4" s="54">
        <f t="shared" ref="M4:M35" si="8">IF(H4/1000&gt;$D$23,$D$23,H4/1000)</f>
        <v>0</v>
      </c>
      <c r="N4" s="54">
        <f t="shared" si="1"/>
        <v>2103.4138700017165</v>
      </c>
      <c r="O4" s="54">
        <f t="shared" si="2"/>
        <v>4450.1987964843011</v>
      </c>
      <c r="P4" s="54">
        <f t="shared" si="3"/>
        <v>1049.1391427328513</v>
      </c>
      <c r="Q4" s="54">
        <f t="shared" si="4"/>
        <v>2103.4138700017165</v>
      </c>
      <c r="R4" s="54">
        <f t="shared" si="5"/>
        <v>0</v>
      </c>
      <c r="T4" s="49"/>
      <c r="U4" s="49"/>
      <c r="V4" s="49"/>
    </row>
    <row r="5" spans="1:22">
      <c r="A5" s="3" t="s">
        <v>1</v>
      </c>
      <c r="B5" s="6">
        <v>50</v>
      </c>
      <c r="C5" s="1" t="s">
        <v>32</v>
      </c>
      <c r="D5" s="1">
        <f>2*PI()*B5</f>
        <v>314.15926535897933</v>
      </c>
      <c r="F5" s="16"/>
      <c r="G5" s="49"/>
      <c r="H5" s="53">
        <f>$B$23/20+H4</f>
        <v>200113.80641108402</v>
      </c>
      <c r="I5" s="53">
        <f>Nm*(SQRT(IF(3/K_3^2*Ii^2*Vo^2-(H5/Nm)^2&lt;0.0000000001,0,3/K_3^2*Ii^2*Vo^2-(H5/Nm)^2))+Vo^2/K_3*K_4)</f>
        <v>4445207.6612115419</v>
      </c>
      <c r="J5" s="53">
        <f t="shared" si="0"/>
        <v>726.55918079726257</v>
      </c>
      <c r="K5" s="53">
        <f>Nm*(SQRT(Vi^2*Vo^2/K_2^2-(H5/Nm)^2)-Vo^2*K_1/K_2)</f>
        <v>2102628.0069946088</v>
      </c>
      <c r="L5" s="53">
        <f t="shared" ref="L5:L44" si="9">IF(ABS(I5)&lt;ABS(K5),I5,K5)</f>
        <v>2102628.0069946088</v>
      </c>
      <c r="M5" s="54">
        <f t="shared" si="8"/>
        <v>200.11380641108403</v>
      </c>
      <c r="N5" s="54">
        <f t="shared" si="1"/>
        <v>2102.6280069946088</v>
      </c>
      <c r="O5" s="54">
        <f t="shared" si="2"/>
        <v>4445.2076612115416</v>
      </c>
      <c r="P5" s="54">
        <f t="shared" si="3"/>
        <v>1048.9796285400855</v>
      </c>
      <c r="Q5" s="54">
        <f t="shared" si="4"/>
        <v>2112.1292742903906</v>
      </c>
      <c r="R5" s="54">
        <f t="shared" si="5"/>
        <v>9.4745056018560231E-2</v>
      </c>
      <c r="T5" s="49"/>
      <c r="V5" s="49"/>
    </row>
    <row r="6" spans="1:22">
      <c r="A6" s="3" t="s">
        <v>0</v>
      </c>
      <c r="B6" s="6">
        <v>2700</v>
      </c>
      <c r="F6" s="16"/>
      <c r="G6" s="49"/>
      <c r="H6" s="53">
        <f t="shared" ref="H6:H20" si="10">$B$22/20+H5</f>
        <v>401417.92322392645</v>
      </c>
      <c r="I6" s="53">
        <f t="shared" si="6"/>
        <v>4430077.3817098159</v>
      </c>
      <c r="J6" s="53">
        <f t="shared" si="0"/>
        <v>726.22092492329705</v>
      </c>
      <c r="K6" s="53">
        <f t="shared" si="7"/>
        <v>2100251.5449113175</v>
      </c>
      <c r="L6" s="53">
        <f t="shared" si="9"/>
        <v>2100251.5449113175</v>
      </c>
      <c r="M6" s="54">
        <f t="shared" si="8"/>
        <v>401.41792322392644</v>
      </c>
      <c r="N6" s="54">
        <f t="shared" si="1"/>
        <v>2100.2515449113175</v>
      </c>
      <c r="O6" s="54">
        <f t="shared" si="2"/>
        <v>4430.0773817098161</v>
      </c>
      <c r="P6" s="54">
        <f t="shared" si="3"/>
        <v>1048.4959226403148</v>
      </c>
      <c r="Q6" s="54">
        <f t="shared" si="4"/>
        <v>2138.2686690375899</v>
      </c>
      <c r="R6" s="54">
        <f t="shared" si="5"/>
        <v>0.18773034887360532</v>
      </c>
      <c r="T6" s="49"/>
      <c r="V6" s="49"/>
    </row>
    <row r="7" spans="1:22">
      <c r="A7" s="3" t="s">
        <v>43</v>
      </c>
      <c r="B7" s="6">
        <v>33</v>
      </c>
      <c r="C7" s="1" t="s">
        <v>40</v>
      </c>
      <c r="D7" s="1">
        <f>B7+aux!C6</f>
        <v>44.25</v>
      </c>
      <c r="F7" s="16"/>
      <c r="G7" s="49"/>
      <c r="H7" s="53">
        <f t="shared" si="10"/>
        <v>602722.04003676889</v>
      </c>
      <c r="I7" s="53">
        <f t="shared" si="6"/>
        <v>4404691.8163696257</v>
      </c>
      <c r="J7" s="53">
        <f t="shared" si="0"/>
        <v>725.65304541090791</v>
      </c>
      <c r="K7" s="53">
        <f t="shared" si="7"/>
        <v>2096284.0107449368</v>
      </c>
      <c r="L7" s="53">
        <f t="shared" si="9"/>
        <v>2096284.0107449368</v>
      </c>
      <c r="M7" s="54">
        <f t="shared" si="8"/>
        <v>602.72204003676893</v>
      </c>
      <c r="N7" s="54">
        <f t="shared" si="1"/>
        <v>2096.2840107449369</v>
      </c>
      <c r="O7" s="54">
        <f t="shared" si="2"/>
        <v>4404.6918163696255</v>
      </c>
      <c r="P7" s="54">
        <f t="shared" si="3"/>
        <v>1047.6838549375982</v>
      </c>
      <c r="Q7" s="54">
        <f t="shared" si="4"/>
        <v>2181.2107901922186</v>
      </c>
      <c r="R7" s="54">
        <f t="shared" si="5"/>
        <v>0.2763245270685894</v>
      </c>
      <c r="T7" s="49"/>
      <c r="V7" s="49"/>
    </row>
    <row r="8" spans="1:22">
      <c r="A8" s="3" t="s">
        <v>41</v>
      </c>
      <c r="B8" s="6">
        <v>951.5</v>
      </c>
      <c r="C8" s="1" t="s">
        <v>33</v>
      </c>
      <c r="D8" s="1">
        <f>IF(B8&gt;1250,1250,IF(B8&lt;$B$3*Vac_to_Vdc+Vdc_offset*Vdc_offset*IF(Vo&gt;500,IF(Vo&gt;600,0,0.4),1),$B$3*Vac_to_Vdc+Vdc_offset*IF(Vo&gt;500,IF(Vo&gt;600,0,0.4),1),B8))</f>
        <v>951.5</v>
      </c>
      <c r="F8" s="16"/>
      <c r="G8" s="49"/>
      <c r="H8" s="53">
        <f t="shared" si="10"/>
        <v>804026.15684961132</v>
      </c>
      <c r="I8" s="53">
        <f t="shared" si="6"/>
        <v>4368852.3825129541</v>
      </c>
      <c r="J8" s="53">
        <f t="shared" si="0"/>
        <v>724.8505535983968</v>
      </c>
      <c r="K8" s="53">
        <f t="shared" si="7"/>
        <v>2090724.6608530339</v>
      </c>
      <c r="L8" s="53">
        <f t="shared" si="9"/>
        <v>2090724.6608530339</v>
      </c>
      <c r="M8" s="54">
        <f t="shared" si="8"/>
        <v>804.02615684961131</v>
      </c>
      <c r="N8" s="54">
        <f t="shared" si="1"/>
        <v>2090.724660853034</v>
      </c>
      <c r="O8" s="54">
        <f t="shared" si="2"/>
        <v>4368.8523825129541</v>
      </c>
      <c r="P8" s="54">
        <f t="shared" si="3"/>
        <v>1046.5362916457075</v>
      </c>
      <c r="Q8" s="54">
        <f t="shared" si="4"/>
        <v>2239.9972474084407</v>
      </c>
      <c r="R8" s="54">
        <f t="shared" si="5"/>
        <v>0.35894068967264464</v>
      </c>
      <c r="T8" s="49"/>
      <c r="V8" s="49"/>
    </row>
    <row r="9" spans="1:22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G9" s="49"/>
      <c r="H9" s="53">
        <f t="shared" si="10"/>
        <v>1005330.2736624538</v>
      </c>
      <c r="I9" s="53">
        <f t="shared" si="6"/>
        <v>4322269.8693628237</v>
      </c>
      <c r="J9" s="53">
        <f t="shared" si="0"/>
        <v>723.80618042916058</v>
      </c>
      <c r="K9" s="53">
        <f t="shared" si="7"/>
        <v>2083572.4524562787</v>
      </c>
      <c r="L9" s="53">
        <f t="shared" si="9"/>
        <v>2083572.4524562787</v>
      </c>
      <c r="M9" s="54">
        <f t="shared" si="8"/>
        <v>1005.3302736624538</v>
      </c>
      <c r="N9" s="54">
        <f t="shared" si="1"/>
        <v>2083.5724524562788</v>
      </c>
      <c r="O9" s="54">
        <f t="shared" si="2"/>
        <v>4322.2698693628236</v>
      </c>
      <c r="P9" s="54">
        <f t="shared" si="3"/>
        <v>1045.0428380136996</v>
      </c>
      <c r="Q9" s="54">
        <f t="shared" si="4"/>
        <v>2313.4310285324905</v>
      </c>
      <c r="R9" s="54">
        <f t="shared" si="5"/>
        <v>0.43456245777950786</v>
      </c>
      <c r="T9" s="49"/>
      <c r="V9" s="49"/>
    </row>
    <row r="10" spans="1:22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1.1492499999999999</v>
      </c>
      <c r="F10" s="16"/>
      <c r="G10" s="49"/>
      <c r="H10" s="53">
        <f t="shared" si="10"/>
        <v>1206634.3904752962</v>
      </c>
      <c r="I10" s="53">
        <f t="shared" si="6"/>
        <v>4264552.1556816222</v>
      </c>
      <c r="J10" s="53">
        <f t="shared" si="0"/>
        <v>722.51006364147827</v>
      </c>
      <c r="K10" s="53">
        <f t="shared" si="7"/>
        <v>2074826.0426592417</v>
      </c>
      <c r="L10" s="53">
        <f t="shared" si="9"/>
        <v>2074826.0426592417</v>
      </c>
      <c r="M10" s="54">
        <f t="shared" si="8"/>
        <v>1206.6343904752962</v>
      </c>
      <c r="N10" s="54">
        <f t="shared" si="1"/>
        <v>2074.8260426592419</v>
      </c>
      <c r="O10" s="54">
        <f t="shared" si="2"/>
        <v>4264.552155681622</v>
      </c>
      <c r="P10" s="54">
        <f t="shared" si="3"/>
        <v>1043.1893910073138</v>
      </c>
      <c r="Q10" s="54">
        <f t="shared" si="4"/>
        <v>2400.1811722398584</v>
      </c>
      <c r="R10" s="54">
        <f t="shared" si="5"/>
        <v>0.50272637933796482</v>
      </c>
      <c r="T10" s="49"/>
      <c r="V10" s="49"/>
    </row>
    <row r="11" spans="1:22">
      <c r="A11" s="21" t="s">
        <v>49</v>
      </c>
      <c r="B11" s="20">
        <f>B9*B10</f>
        <v>1.2004372301587298</v>
      </c>
      <c r="F11" s="16"/>
      <c r="G11" s="49"/>
      <c r="H11" s="53">
        <f t="shared" si="10"/>
        <v>1407938.5072881386</v>
      </c>
      <c r="I11" s="53">
        <f t="shared" si="6"/>
        <v>4195186.3691813378</v>
      </c>
      <c r="J11" s="53">
        <f t="shared" si="0"/>
        <v>720.94929318761456</v>
      </c>
      <c r="K11" s="53">
        <f t="shared" si="7"/>
        <v>2064483.7871872634</v>
      </c>
      <c r="L11" s="53">
        <f t="shared" si="9"/>
        <v>2064483.7871872634</v>
      </c>
      <c r="M11" s="54">
        <f t="shared" si="8"/>
        <v>1407.9385072881387</v>
      </c>
      <c r="N11" s="54">
        <f t="shared" si="1"/>
        <v>2064.4837871872633</v>
      </c>
      <c r="O11" s="54">
        <f t="shared" si="2"/>
        <v>4195.1863691813378</v>
      </c>
      <c r="P11" s="54">
        <f t="shared" si="3"/>
        <v>1040.9574892582887</v>
      </c>
      <c r="Q11" s="54">
        <f t="shared" si="4"/>
        <v>2498.8765771569865</v>
      </c>
      <c r="R11" s="54">
        <f t="shared" si="5"/>
        <v>0.56342859033477111</v>
      </c>
      <c r="T11" s="49"/>
      <c r="V11" s="49"/>
    </row>
    <row r="12" spans="1:22">
      <c r="A12" s="3" t="s">
        <v>44</v>
      </c>
      <c r="B12" s="6">
        <v>-5</v>
      </c>
      <c r="C12" s="1" t="s">
        <v>39</v>
      </c>
      <c r="D12" s="1">
        <f>B12+aux!C6</f>
        <v>6.25</v>
      </c>
      <c r="F12" s="16"/>
      <c r="G12" s="49"/>
      <c r="H12" s="53">
        <f t="shared" si="10"/>
        <v>1609242.624100981</v>
      </c>
      <c r="I12" s="53">
        <f t="shared" si="6"/>
        <v>4113513.4393853033</v>
      </c>
      <c r="J12" s="53">
        <f t="shared" si="0"/>
        <v>719.10726247640184</v>
      </c>
      <c r="K12" s="53">
        <f t="shared" si="7"/>
        <v>2052543.7388366628</v>
      </c>
      <c r="L12" s="53">
        <f t="shared" si="9"/>
        <v>2052543.7388366628</v>
      </c>
      <c r="M12" s="54">
        <f t="shared" si="8"/>
        <v>1609.2426241009809</v>
      </c>
      <c r="N12" s="54">
        <f t="shared" si="1"/>
        <v>2052.5437388366627</v>
      </c>
      <c r="O12" s="54">
        <f t="shared" si="2"/>
        <v>4113.5134393853032</v>
      </c>
      <c r="P12" s="54">
        <f t="shared" si="3"/>
        <v>1038.3233853412546</v>
      </c>
      <c r="Q12" s="54">
        <f t="shared" si="4"/>
        <v>2608.1789860093954</v>
      </c>
      <c r="R12" s="54">
        <f t="shared" si="5"/>
        <v>0.61699853910838309</v>
      </c>
      <c r="T12" s="49"/>
      <c r="V12" s="49"/>
    </row>
    <row r="13" spans="1:22">
      <c r="A13" s="3" t="s">
        <v>86</v>
      </c>
      <c r="B13" s="19">
        <v>1130</v>
      </c>
      <c r="C13" s="1" t="s">
        <v>48</v>
      </c>
      <c r="D13" s="1">
        <f>IF(B13&gt;1250,1250,IF(B13&lt;Vo*1.43,Vo*1.43,B13))</f>
        <v>1130</v>
      </c>
      <c r="F13" s="16"/>
      <c r="G13" s="49"/>
      <c r="H13" s="53">
        <f t="shared" si="10"/>
        <v>1810546.7409138235</v>
      </c>
      <c r="I13" s="53">
        <f t="shared" si="6"/>
        <v>4018691.7760256436</v>
      </c>
      <c r="J13" s="53">
        <f t="shared" si="0"/>
        <v>716.96274179599493</v>
      </c>
      <c r="K13" s="53">
        <f t="shared" si="7"/>
        <v>2039003.6456347872</v>
      </c>
      <c r="L13" s="53">
        <f t="shared" si="9"/>
        <v>2039003.6456347872</v>
      </c>
      <c r="M13" s="54">
        <f t="shared" si="8"/>
        <v>1810.5467409138234</v>
      </c>
      <c r="N13" s="54">
        <f t="shared" si="1"/>
        <v>2039.0036456347871</v>
      </c>
      <c r="O13" s="54">
        <f t="shared" si="2"/>
        <v>4018.6917760256438</v>
      </c>
      <c r="P13" s="54">
        <f t="shared" si="3"/>
        <v>1035.2567207682728</v>
      </c>
      <c r="Q13" s="54">
        <f t="shared" si="4"/>
        <v>2726.8324788929772</v>
      </c>
      <c r="R13" s="54">
        <f t="shared" si="5"/>
        <v>0.66397431999521228</v>
      </c>
      <c r="T13" s="49"/>
      <c r="V13" s="49"/>
    </row>
    <row r="14" spans="1:22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G14" s="49"/>
      <c r="H14" s="53">
        <f t="shared" si="10"/>
        <v>2011850.8577266659</v>
      </c>
      <c r="I14" s="53">
        <f t="shared" si="6"/>
        <v>3909644.7535029128</v>
      </c>
      <c r="J14" s="53">
        <f t="shared" si="0"/>
        <v>714.48853770275832</v>
      </c>
      <c r="K14" s="53">
        <f t="shared" si="7"/>
        <v>2023860.9487059284</v>
      </c>
      <c r="L14" s="53">
        <f t="shared" si="9"/>
        <v>2023860.9487059284</v>
      </c>
      <c r="M14" s="54">
        <f t="shared" si="8"/>
        <v>2011.8508577266659</v>
      </c>
      <c r="N14" s="54">
        <f t="shared" si="1"/>
        <v>2023.8609487059284</v>
      </c>
      <c r="O14" s="54">
        <f t="shared" si="2"/>
        <v>3909.6447535029129</v>
      </c>
      <c r="P14" s="54">
        <f t="shared" si="3"/>
        <v>1031.7186089149445</v>
      </c>
      <c r="Q14" s="54">
        <f t="shared" si="4"/>
        <v>2853.6918217341517</v>
      </c>
      <c r="R14" s="54">
        <f t="shared" si="5"/>
        <v>0.70499934239713735</v>
      </c>
      <c r="T14" s="49"/>
      <c r="V14" s="49"/>
    </row>
    <row r="15" spans="1:22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G15" s="49"/>
      <c r="H15" s="53">
        <f t="shared" si="10"/>
        <v>2213154.9745395086</v>
      </c>
      <c r="I15" s="53">
        <f t="shared" si="6"/>
        <v>3784983.0587911746</v>
      </c>
      <c r="J15" s="53">
        <f t="shared" si="0"/>
        <v>711.64950927929328</v>
      </c>
      <c r="K15" s="53">
        <f t="shared" si="7"/>
        <v>2007112.7798382584</v>
      </c>
      <c r="L15" s="53">
        <f t="shared" si="9"/>
        <v>2007112.7798382584</v>
      </c>
      <c r="M15" s="54">
        <f t="shared" si="8"/>
        <v>2213.1549745395087</v>
      </c>
      <c r="N15" s="54">
        <f t="shared" si="1"/>
        <v>2007.1127798382583</v>
      </c>
      <c r="O15" s="54">
        <f t="shared" si="2"/>
        <v>3784.9830587911747</v>
      </c>
      <c r="P15" s="54">
        <f t="shared" si="3"/>
        <v>1027.6587982693893</v>
      </c>
      <c r="Q15" s="54">
        <f t="shared" si="4"/>
        <v>2987.7343677641484</v>
      </c>
      <c r="R15" s="54">
        <f t="shared" si="5"/>
        <v>0.7407469012031711</v>
      </c>
      <c r="T15" s="49"/>
      <c r="V15" s="49"/>
    </row>
    <row r="16" spans="1:22">
      <c r="A16" s="21" t="s">
        <v>50</v>
      </c>
      <c r="B16" s="20">
        <f>B14*B15</f>
        <v>1.1831619047619049</v>
      </c>
      <c r="F16" s="16"/>
      <c r="G16" s="49"/>
      <c r="H16" s="53">
        <f t="shared" si="10"/>
        <v>2414459.091352351</v>
      </c>
      <c r="I16" s="53">
        <f t="shared" si="6"/>
        <v>3642886.2140883198</v>
      </c>
      <c r="J16" s="53">
        <f t="shared" si="0"/>
        <v>708.3995391489251</v>
      </c>
      <c r="K16" s="53">
        <f t="shared" si="7"/>
        <v>1988755.9587464556</v>
      </c>
      <c r="L16" s="53">
        <f t="shared" si="9"/>
        <v>1988755.9587464556</v>
      </c>
      <c r="M16" s="54">
        <f t="shared" si="8"/>
        <v>2414.4590913523512</v>
      </c>
      <c r="N16" s="54">
        <f t="shared" si="1"/>
        <v>1988.7559587464557</v>
      </c>
      <c r="O16" s="54">
        <f t="shared" si="2"/>
        <v>3642.8862140883198</v>
      </c>
      <c r="P16" s="54">
        <f t="shared" si="3"/>
        <v>1023.0113409829629</v>
      </c>
      <c r="Q16" s="54">
        <f t="shared" si="4"/>
        <v>3128.0605760220751</v>
      </c>
      <c r="R16" s="54">
        <f t="shared" si="5"/>
        <v>0.77187095092090441</v>
      </c>
      <c r="T16" s="49"/>
      <c r="V16" s="49"/>
    </row>
    <row r="17" spans="1:22">
      <c r="A17" s="21"/>
      <c r="B17" s="20"/>
      <c r="F17" s="16"/>
      <c r="G17" s="49"/>
      <c r="H17" s="53">
        <f t="shared" si="10"/>
        <v>2615763.2081651934</v>
      </c>
      <c r="I17" s="53">
        <f t="shared" si="6"/>
        <v>3480914.2316429717</v>
      </c>
      <c r="J17" s="53">
        <f t="shared" si="0"/>
        <v>704.67671450852595</v>
      </c>
      <c r="K17" s="53">
        <f t="shared" si="7"/>
        <v>1968786.9900237769</v>
      </c>
      <c r="L17" s="53">
        <f t="shared" si="9"/>
        <v>1968786.9900237769</v>
      </c>
      <c r="M17" s="54">
        <f t="shared" si="8"/>
        <v>2615.7632081651936</v>
      </c>
      <c r="N17" s="54">
        <f t="shared" si="1"/>
        <v>1968.786990023777</v>
      </c>
      <c r="O17" s="54">
        <f t="shared" si="2"/>
        <v>3480.9142316429716</v>
      </c>
      <c r="P17" s="54">
        <f t="shared" si="3"/>
        <v>1017.687701747192</v>
      </c>
      <c r="Q17" s="54">
        <f t="shared" si="4"/>
        <v>3273.8875016221236</v>
      </c>
      <c r="R17" s="54">
        <f t="shared" si="5"/>
        <v>0.79897773117407145</v>
      </c>
      <c r="T17" s="49"/>
      <c r="V17" s="49"/>
    </row>
    <row r="18" spans="1:22" ht="18.75">
      <c r="A18" s="23" t="s">
        <v>53</v>
      </c>
      <c r="B18" s="24">
        <f>MIN(B16,B11)</f>
        <v>1.1831619047619049</v>
      </c>
      <c r="F18" s="16"/>
      <c r="G18" s="49"/>
      <c r="H18" s="53">
        <f t="shared" si="10"/>
        <v>2817067.3249780359</v>
      </c>
      <c r="I18" s="53">
        <f t="shared" si="6"/>
        <v>3295691.8961189538</v>
      </c>
      <c r="J18" s="53">
        <f t="shared" si="0"/>
        <v>700.39524288341693</v>
      </c>
      <c r="K18" s="53">
        <f t="shared" si="7"/>
        <v>1947202.0597768072</v>
      </c>
      <c r="L18" s="53">
        <f t="shared" si="9"/>
        <v>1947202.0597768072</v>
      </c>
      <c r="M18" s="54">
        <f t="shared" si="8"/>
        <v>2817.0673249780357</v>
      </c>
      <c r="N18" s="54">
        <f t="shared" si="1"/>
        <v>1947.2020597768071</v>
      </c>
      <c r="O18" s="54">
        <f t="shared" si="2"/>
        <v>3295.691896118954</v>
      </c>
      <c r="P18" s="54">
        <f t="shared" si="3"/>
        <v>1011.5651973232862</v>
      </c>
      <c r="Q18" s="54">
        <f t="shared" si="4"/>
        <v>3424.5385346142543</v>
      </c>
      <c r="R18" s="54">
        <f t="shared" si="5"/>
        <v>0.8226122429354864</v>
      </c>
      <c r="T18" s="49"/>
      <c r="V18" s="49"/>
    </row>
    <row r="19" spans="1:22">
      <c r="A19" s="21"/>
      <c r="B19" s="20"/>
      <c r="F19" s="16"/>
      <c r="G19" s="49"/>
      <c r="H19" s="53">
        <f t="shared" si="10"/>
        <v>3018371.4417908783</v>
      </c>
      <c r="I19" s="53">
        <f t="shared" si="6"/>
        <v>3082341.6285691923</v>
      </c>
      <c r="J19" s="53">
        <f t="shared" si="0"/>
        <v>695.43091865622046</v>
      </c>
      <c r="K19" s="53">
        <f t="shared" si="7"/>
        <v>1923997.03193512</v>
      </c>
      <c r="L19" s="53">
        <f t="shared" si="9"/>
        <v>1923997.03193512</v>
      </c>
      <c r="M19" s="54">
        <f t="shared" si="8"/>
        <v>3018.3714417908782</v>
      </c>
      <c r="N19" s="54">
        <f t="shared" si="1"/>
        <v>1923.99703193512</v>
      </c>
      <c r="O19" s="54">
        <f t="shared" si="2"/>
        <v>3082.3416285691924</v>
      </c>
      <c r="P19" s="54">
        <f t="shared" si="3"/>
        <v>1004.4662136783952</v>
      </c>
      <c r="Q19" s="54">
        <f t="shared" si="4"/>
        <v>3579.4316224107279</v>
      </c>
      <c r="R19" s="54">
        <f t="shared" si="5"/>
        <v>0.84325439348888054</v>
      </c>
      <c r="T19" s="49"/>
      <c r="V19" s="49"/>
    </row>
    <row r="20" spans="1:22">
      <c r="A20" s="21" t="s">
        <v>36</v>
      </c>
      <c r="B20" s="5">
        <f>($D$8)/Vac_to_Vdc</f>
        <v>665.38461538461536</v>
      </c>
      <c r="F20" s="16"/>
      <c r="G20" s="49"/>
      <c r="H20" s="53">
        <f t="shared" si="10"/>
        <v>3219675.5586037207</v>
      </c>
      <c r="I20" s="53">
        <f t="shared" si="6"/>
        <v>2833365.4171060771</v>
      </c>
      <c r="J20" s="53">
        <f t="shared" si="0"/>
        <v>689.59244891474873</v>
      </c>
      <c r="K20" s="53">
        <f t="shared" si="7"/>
        <v>1899167.4442275111</v>
      </c>
      <c r="L20" s="53">
        <f t="shared" si="9"/>
        <v>1899167.4442275111</v>
      </c>
      <c r="M20" s="54">
        <f t="shared" si="8"/>
        <v>3219.6755586037207</v>
      </c>
      <c r="N20" s="54">
        <f t="shared" si="1"/>
        <v>1899.1674442275112</v>
      </c>
      <c r="O20" s="54">
        <f t="shared" si="2"/>
        <v>2833.3654171060771</v>
      </c>
      <c r="P20" s="54">
        <f t="shared" si="3"/>
        <v>996.11720194809061</v>
      </c>
      <c r="Q20" s="54">
        <f t="shared" si="4"/>
        <v>3738.0673728390502</v>
      </c>
      <c r="R20" s="54">
        <f t="shared" si="5"/>
        <v>0.86132090127588778</v>
      </c>
      <c r="T20" s="49"/>
      <c r="V20" s="49"/>
    </row>
    <row r="21" spans="1:22" ht="18.75">
      <c r="A21" s="21" t="s">
        <v>34</v>
      </c>
      <c r="B21" s="5">
        <f>IF(B25=1,(IF(B9*B10&gt;B18,B18,B9*B10))*Ii_r,B26)</f>
        <v>1242.3200000000002</v>
      </c>
      <c r="D21" s="188"/>
      <c r="E21" s="188"/>
      <c r="F21" s="188"/>
      <c r="G21" s="49"/>
      <c r="H21" s="53">
        <f>$B$22/80+H20</f>
        <v>3270001.5878069312</v>
      </c>
      <c r="I21" s="53">
        <f t="shared" si="6"/>
        <v>2764251.7299038577</v>
      </c>
      <c r="J21" s="53">
        <f t="shared" si="0"/>
        <v>687.96295302543763</v>
      </c>
      <c r="K21" s="53">
        <f t="shared" si="7"/>
        <v>1892705.6554901451</v>
      </c>
      <c r="L21" s="53">
        <f t="shared" si="9"/>
        <v>1892705.6554901451</v>
      </c>
      <c r="M21" s="54">
        <f t="shared" si="8"/>
        <v>3270.0015878069312</v>
      </c>
      <c r="N21" s="54">
        <f t="shared" si="1"/>
        <v>1892.7056554901451</v>
      </c>
      <c r="O21" s="54">
        <f t="shared" si="2"/>
        <v>2764.2517299038577</v>
      </c>
      <c r="P21" s="54">
        <f t="shared" si="3"/>
        <v>993.78702282637573</v>
      </c>
      <c r="Q21" s="54">
        <f t="shared" si="4"/>
        <v>3778.2595308665909</v>
      </c>
      <c r="R21" s="54">
        <f t="shared" si="5"/>
        <v>0.86547828731524845</v>
      </c>
      <c r="T21" s="49"/>
      <c r="V21" s="49"/>
    </row>
    <row r="22" spans="1:22" ht="18.75">
      <c r="A22" s="21" t="s">
        <v>102</v>
      </c>
      <c r="B22" s="1">
        <f>Nm*SQRT(3)*Vo*Ii/K_3^2</f>
        <v>4026082.3362568491</v>
      </c>
      <c r="C22" s="25" t="s">
        <v>101</v>
      </c>
      <c r="D22" s="26">
        <f>B22/1000</f>
        <v>4026.082336256849</v>
      </c>
      <c r="E22" s="26"/>
      <c r="F22" s="26"/>
      <c r="G22" s="49"/>
      <c r="H22" s="53">
        <f t="shared" ref="H22:H36" si="11">$B$22/80+H21</f>
        <v>3320327.6170101417</v>
      </c>
      <c r="I22" s="53">
        <f t="shared" si="6"/>
        <v>2691900.1824233737</v>
      </c>
      <c r="J22" s="53">
        <f t="shared" si="0"/>
        <v>686.25297264541302</v>
      </c>
      <c r="K22" s="53">
        <f t="shared" si="7"/>
        <v>1886141.9557013344</v>
      </c>
      <c r="L22" s="53">
        <f t="shared" si="9"/>
        <v>1886141.9557013344</v>
      </c>
      <c r="M22" s="54">
        <f t="shared" si="8"/>
        <v>3320.3276170101417</v>
      </c>
      <c r="N22" s="54">
        <f t="shared" si="1"/>
        <v>1886.1419557013344</v>
      </c>
      <c r="O22" s="54">
        <f t="shared" si="2"/>
        <v>2691.9001824233737</v>
      </c>
      <c r="P22" s="54">
        <f t="shared" si="3"/>
        <v>991.34175088294057</v>
      </c>
      <c r="Q22" s="54">
        <f t="shared" si="4"/>
        <v>3818.6525059681853</v>
      </c>
      <c r="R22" s="54">
        <f t="shared" si="5"/>
        <v>0.86950242574331915</v>
      </c>
      <c r="T22" s="49"/>
      <c r="V22" s="49"/>
    </row>
    <row r="23" spans="1:22" ht="18.75">
      <c r="A23" s="21" t="s">
        <v>51</v>
      </c>
      <c r="B23" s="1">
        <f>Vo*Ii*SQRT(3)*Nm</f>
        <v>4002276.1282216804</v>
      </c>
      <c r="C23" s="25" t="s">
        <v>52</v>
      </c>
      <c r="D23" s="26">
        <f>B23/1000</f>
        <v>4002.2761282216802</v>
      </c>
      <c r="E23" s="26"/>
      <c r="F23" s="26"/>
      <c r="G23" s="49"/>
      <c r="H23" s="53">
        <f t="shared" si="11"/>
        <v>3370653.6462133522</v>
      </c>
      <c r="I23" s="53">
        <f t="shared" si="6"/>
        <v>2615988.409353788</v>
      </c>
      <c r="J23" s="53">
        <f t="shared" si="0"/>
        <v>684.45425617070623</v>
      </c>
      <c r="K23" s="53">
        <f t="shared" si="7"/>
        <v>1879476.2654024139</v>
      </c>
      <c r="L23" s="53">
        <f t="shared" si="9"/>
        <v>1879476.2654024139</v>
      </c>
      <c r="M23" s="54">
        <f t="shared" si="8"/>
        <v>3370.6536462133522</v>
      </c>
      <c r="N23" s="54">
        <f t="shared" si="1"/>
        <v>1879.4762654024139</v>
      </c>
      <c r="O23" s="54">
        <f t="shared" si="2"/>
        <v>2615.988409353788</v>
      </c>
      <c r="P23" s="54">
        <f t="shared" si="3"/>
        <v>988.76958632410992</v>
      </c>
      <c r="Q23" s="54">
        <f t="shared" si="4"/>
        <v>3859.2404738422779</v>
      </c>
      <c r="R23" s="54">
        <f t="shared" si="5"/>
        <v>0.87339819041064148</v>
      </c>
      <c r="T23" s="49"/>
      <c r="V23" s="49"/>
    </row>
    <row r="24" spans="1:22">
      <c r="A24" s="27"/>
      <c r="F24" s="16"/>
      <c r="G24" s="49"/>
      <c r="H24" s="53">
        <f t="shared" si="11"/>
        <v>3420979.6754165627</v>
      </c>
      <c r="I24" s="53">
        <f t="shared" si="6"/>
        <v>2536130.3732499192</v>
      </c>
      <c r="J24" s="53">
        <f t="shared" si="0"/>
        <v>682.55691757392378</v>
      </c>
      <c r="K24" s="53">
        <f t="shared" si="7"/>
        <v>1872708.5038154963</v>
      </c>
      <c r="L24" s="53">
        <f t="shared" si="9"/>
        <v>1872708.5038154963</v>
      </c>
      <c r="M24" s="54">
        <f t="shared" si="8"/>
        <v>3420.9796754165627</v>
      </c>
      <c r="N24" s="54">
        <f t="shared" si="1"/>
        <v>1872.7085038154964</v>
      </c>
      <c r="O24" s="54">
        <f t="shared" si="2"/>
        <v>2536.1303732499191</v>
      </c>
      <c r="P24" s="54">
        <f t="shared" si="3"/>
        <v>986.05639213071095</v>
      </c>
      <c r="Q24" s="54">
        <f t="shared" si="4"/>
        <v>3900.0178307125834</v>
      </c>
      <c r="R24" s="54">
        <f t="shared" si="5"/>
        <v>0.87717026534504483</v>
      </c>
      <c r="T24" s="49"/>
      <c r="V24" s="49"/>
    </row>
    <row r="25" spans="1:22">
      <c r="A25" s="3" t="s">
        <v>38</v>
      </c>
      <c r="B25" s="6">
        <v>1</v>
      </c>
      <c r="F25" s="16"/>
      <c r="G25" s="49"/>
      <c r="H25" s="53">
        <f t="shared" si="11"/>
        <v>3471305.7046197732</v>
      </c>
      <c r="I25" s="53">
        <f t="shared" si="6"/>
        <v>2451857.1272157785</v>
      </c>
      <c r="J25" s="53">
        <f t="shared" si="0"/>
        <v>680.54894203511719</v>
      </c>
      <c r="K25" s="53">
        <f t="shared" si="7"/>
        <v>1865838.5888384543</v>
      </c>
      <c r="L25" s="53">
        <f t="shared" si="9"/>
        <v>1865838.5888384543</v>
      </c>
      <c r="M25" s="54">
        <f t="shared" si="8"/>
        <v>3471.3057046197732</v>
      </c>
      <c r="N25" s="54">
        <f t="shared" si="1"/>
        <v>1865.8385888384544</v>
      </c>
      <c r="O25" s="54">
        <f t="shared" si="2"/>
        <v>2451.8571272157783</v>
      </c>
      <c r="P25" s="54">
        <f t="shared" si="3"/>
        <v>983.18498711021755</v>
      </c>
      <c r="Q25" s="54">
        <f t="shared" si="4"/>
        <v>3940.9791847362576</v>
      </c>
      <c r="R25" s="54">
        <f t="shared" si="5"/>
        <v>0.8808231512778425</v>
      </c>
      <c r="T25" s="49"/>
      <c r="V25" s="49"/>
    </row>
    <row r="26" spans="1:22">
      <c r="A26" s="3" t="s">
        <v>25</v>
      </c>
      <c r="B26" s="6">
        <v>1250</v>
      </c>
      <c r="F26" s="16"/>
      <c r="G26" s="49"/>
      <c r="H26" s="53">
        <f t="shared" si="11"/>
        <v>3521631.7338229837</v>
      </c>
      <c r="I26" s="53">
        <f t="shared" si="6"/>
        <v>2362589.3542478001</v>
      </c>
      <c r="J26" s="53">
        <f t="shared" si="0"/>
        <v>678.41548012543353</v>
      </c>
      <c r="K26" s="53">
        <f t="shared" si="7"/>
        <v>1858866.4370398074</v>
      </c>
      <c r="L26" s="53">
        <f t="shared" si="9"/>
        <v>1858866.4370398074</v>
      </c>
      <c r="M26" s="54">
        <f t="shared" si="8"/>
        <v>3521.6317338229837</v>
      </c>
      <c r="N26" s="54">
        <f t="shared" si="1"/>
        <v>1858.8664370398074</v>
      </c>
      <c r="O26" s="54">
        <f t="shared" si="2"/>
        <v>2362.5893542478002</v>
      </c>
      <c r="P26" s="54">
        <f t="shared" si="3"/>
        <v>980.13413657936997</v>
      </c>
      <c r="Q26" s="54">
        <f t="shared" si="4"/>
        <v>3982.1193477119873</v>
      </c>
      <c r="R26" s="54">
        <f t="shared" si="5"/>
        <v>0.88436117210962384</v>
      </c>
      <c r="T26" s="49"/>
      <c r="V26" s="49"/>
    </row>
    <row r="27" spans="1:22">
      <c r="A27" s="27"/>
      <c r="F27" s="16"/>
      <c r="G27" s="49"/>
      <c r="H27" s="53">
        <f t="shared" si="11"/>
        <v>3571957.7630261942</v>
      </c>
      <c r="I27" s="53">
        <f t="shared" si="6"/>
        <v>2267596.9201682834</v>
      </c>
      <c r="J27" s="53">
        <f t="shared" si="0"/>
        <v>676.13780802787153</v>
      </c>
      <c r="K27" s="53">
        <f t="shared" si="7"/>
        <v>1851791.9636535589</v>
      </c>
      <c r="L27" s="53">
        <f t="shared" si="9"/>
        <v>1851791.9636535589</v>
      </c>
      <c r="M27" s="54">
        <f t="shared" si="8"/>
        <v>3571.9577630261942</v>
      </c>
      <c r="N27" s="54">
        <f t="shared" si="1"/>
        <v>1851.7919636535589</v>
      </c>
      <c r="O27" s="54">
        <f t="shared" si="2"/>
        <v>2267.5969201682833</v>
      </c>
      <c r="P27" s="54">
        <f t="shared" si="3"/>
        <v>976.87706547985624</v>
      </c>
      <c r="Q27" s="54">
        <f t="shared" si="4"/>
        <v>4023.4333270845932</v>
      </c>
      <c r="R27" s="54">
        <f t="shared" si="5"/>
        <v>0.88778848129054466</v>
      </c>
      <c r="T27" s="49"/>
      <c r="V27" s="49"/>
    </row>
    <row r="28" spans="1:22">
      <c r="A28" s="27" t="s">
        <v>73</v>
      </c>
      <c r="C28" t="s">
        <v>83</v>
      </c>
      <c r="D28">
        <v>2</v>
      </c>
      <c r="F28" s="16"/>
      <c r="G28" s="49"/>
      <c r="H28" s="53">
        <f t="shared" si="11"/>
        <v>3622283.7922294047</v>
      </c>
      <c r="I28" s="53">
        <f t="shared" si="6"/>
        <v>2165937.0223756903</v>
      </c>
      <c r="J28" s="53">
        <f t="shared" si="0"/>
        <v>673.6917372509522</v>
      </c>
      <c r="K28" s="53">
        <f t="shared" si="7"/>
        <v>1844615.082573887</v>
      </c>
      <c r="L28" s="53">
        <f t="shared" si="9"/>
        <v>1844615.082573887</v>
      </c>
      <c r="M28" s="54">
        <f t="shared" si="8"/>
        <v>3622.2837922294048</v>
      </c>
      <c r="N28" s="54">
        <f t="shared" si="1"/>
        <v>1844.6150825738869</v>
      </c>
      <c r="O28" s="54">
        <f t="shared" si="2"/>
        <v>2165.9370223756905</v>
      </c>
      <c r="P28" s="54">
        <f t="shared" si="3"/>
        <v>973.37918426886165</v>
      </c>
      <c r="Q28" s="54">
        <f t="shared" si="4"/>
        <v>4064.9163182416073</v>
      </c>
      <c r="R28" s="54">
        <f t="shared" si="5"/>
        <v>0.89110906809425405</v>
      </c>
      <c r="T28" s="49"/>
      <c r="V28" s="49"/>
    </row>
    <row r="29" spans="1:22">
      <c r="A29" s="3" t="s">
        <v>54</v>
      </c>
      <c r="B29" s="6">
        <v>2846</v>
      </c>
      <c r="C29" s="2">
        <f>IF(B29&gt;D23,D23,B29)</f>
        <v>2846</v>
      </c>
      <c r="F29" s="16"/>
      <c r="G29" s="49"/>
      <c r="H29" s="53">
        <f t="shared" si="11"/>
        <v>3672609.8214326152</v>
      </c>
      <c r="I29" s="53">
        <f t="shared" si="6"/>
        <v>2056355.1822935294</v>
      </c>
      <c r="J29" s="53">
        <f t="shared" si="0"/>
        <v>671.04506857619663</v>
      </c>
      <c r="K29" s="53">
        <f t="shared" si="7"/>
        <v>1837335.706349792</v>
      </c>
      <c r="L29" s="53">
        <f t="shared" si="9"/>
        <v>1837335.706349792</v>
      </c>
      <c r="M29" s="54">
        <f t="shared" si="8"/>
        <v>3672.6098214326153</v>
      </c>
      <c r="N29" s="54">
        <f t="shared" si="1"/>
        <v>1837.335706349792</v>
      </c>
      <c r="O29" s="54">
        <f t="shared" si="2"/>
        <v>2056.3551822935292</v>
      </c>
      <c r="P29" s="54">
        <f t="shared" si="3"/>
        <v>969.59444806396118</v>
      </c>
      <c r="Q29" s="54">
        <f t="shared" si="4"/>
        <v>4106.5636970965388</v>
      </c>
      <c r="R29" s="54">
        <f t="shared" si="5"/>
        <v>0.89432676376827136</v>
      </c>
      <c r="T29" s="49"/>
      <c r="V29" s="49"/>
    </row>
    <row r="30" spans="1:22">
      <c r="A30" s="27"/>
      <c r="B30" s="1" t="s">
        <v>69</v>
      </c>
      <c r="C30" s="1">
        <f xml:space="preserve"> Nm/1000*(-SQRT(3/K_3^2*Ii^2*Vo^2-($C$29*1000/Nm)^2)+Vo^2*K_4/K_3)</f>
        <v>-2394.824357109534</v>
      </c>
      <c r="F30" s="16"/>
      <c r="G30" s="49"/>
      <c r="H30" s="53">
        <f t="shared" si="11"/>
        <v>3722935.8506358257</v>
      </c>
      <c r="I30" s="53">
        <f t="shared" si="6"/>
        <v>1937117.4488093578</v>
      </c>
      <c r="J30" s="53">
        <f t="shared" si="0"/>
        <v>668.15327633244169</v>
      </c>
      <c r="K30" s="53">
        <f t="shared" si="7"/>
        <v>1829953.7461795975</v>
      </c>
      <c r="L30" s="53">
        <f t="shared" si="9"/>
        <v>1829953.7461795975</v>
      </c>
      <c r="M30" s="54">
        <f t="shared" si="8"/>
        <v>3722.9358506358258</v>
      </c>
      <c r="N30" s="54">
        <f t="shared" si="1"/>
        <v>1829.9537461795974</v>
      </c>
      <c r="O30" s="54">
        <f t="shared" si="2"/>
        <v>1937.1174488093579</v>
      </c>
      <c r="P30" s="54">
        <f t="shared" si="3"/>
        <v>965.45918515539154</v>
      </c>
      <c r="Q30" s="54">
        <f t="shared" si="4"/>
        <v>4148.3710129527035</v>
      </c>
      <c r="R30" s="54">
        <f t="shared" si="5"/>
        <v>0.89744524754692467</v>
      </c>
      <c r="T30" s="49"/>
      <c r="V30" s="49"/>
    </row>
    <row r="31" spans="1:22">
      <c r="A31" s="27"/>
      <c r="B31" s="1" t="s">
        <v>68</v>
      </c>
      <c r="C31" s="1">
        <f>Nm/1000*IF(D28=1,MIN(SQRT(3/K_3^2*Ii^2*Vo^2-($C$29*1000/Nm)^2)+Vo^2*K_4/K_3,SQRT(Vi^2*Vo^2/K_2^2-($C$29*1000/Nm)^2)-Vo^2*K_1/K_2),SQRT(3/K_3^2*Ii^2*Vo^2-($C$29*1000/Nm)^2)+Vo^2*K_4/K_3)</f>
        <v>3266.8987815314795</v>
      </c>
      <c r="F31" s="16"/>
      <c r="G31" s="49"/>
      <c r="H31" s="53">
        <f t="shared" si="11"/>
        <v>3773261.8798390361</v>
      </c>
      <c r="I31" s="53">
        <f t="shared" si="6"/>
        <v>1805704.3289986048</v>
      </c>
      <c r="J31" s="53">
        <f t="shared" si="0"/>
        <v>664.95163500268745</v>
      </c>
      <c r="K31" s="53">
        <f t="shared" si="7"/>
        <v>1822469.1119054183</v>
      </c>
      <c r="L31" s="53">
        <f t="shared" si="9"/>
        <v>1805704.3289986048</v>
      </c>
      <c r="M31" s="54">
        <f t="shared" si="8"/>
        <v>3773.2618798390363</v>
      </c>
      <c r="N31" s="54">
        <f t="shared" si="1"/>
        <v>1805.7043289986048</v>
      </c>
      <c r="O31" s="54">
        <f t="shared" si="2"/>
        <v>1805.7043289986048</v>
      </c>
      <c r="P31" s="54">
        <f t="shared" si="3"/>
        <v>960.88083805384304</v>
      </c>
      <c r="Q31" s="54">
        <f t="shared" si="4"/>
        <v>4183.0698461310349</v>
      </c>
      <c r="R31" s="54">
        <f t="shared" si="5"/>
        <v>0.90203176581642919</v>
      </c>
      <c r="T31" s="49"/>
      <c r="V31" s="49"/>
    </row>
    <row r="32" spans="1:22">
      <c r="A32" s="3" t="s">
        <v>55</v>
      </c>
      <c r="B32" s="6">
        <v>0</v>
      </c>
      <c r="C32" s="2">
        <f>IF(B32&lt;C30,C30,IF(B32&gt;C31,C31,B32))</f>
        <v>0</v>
      </c>
      <c r="F32" s="16"/>
      <c r="G32" s="49"/>
      <c r="H32" s="53">
        <f t="shared" si="11"/>
        <v>3823587.9090422466</v>
      </c>
      <c r="I32" s="53">
        <f t="shared" si="6"/>
        <v>1658194.618800526</v>
      </c>
      <c r="J32" s="53">
        <f t="shared" si="0"/>
        <v>661.33936614407935</v>
      </c>
      <c r="K32" s="53">
        <f t="shared" si="7"/>
        <v>1814881.7120074891</v>
      </c>
      <c r="L32" s="53">
        <f t="shared" si="9"/>
        <v>1658194.618800526</v>
      </c>
      <c r="M32" s="54">
        <f t="shared" si="8"/>
        <v>3823.5879090422468</v>
      </c>
      <c r="N32" s="54">
        <f t="shared" si="1"/>
        <v>1658.1946188005261</v>
      </c>
      <c r="O32" s="54">
        <f t="shared" si="2"/>
        <v>1658.1946188005261</v>
      </c>
      <c r="P32" s="54">
        <f t="shared" si="3"/>
        <v>955.71529358603345</v>
      </c>
      <c r="Q32" s="54">
        <f t="shared" si="4"/>
        <v>4167.665280704904</v>
      </c>
      <c r="R32" s="54">
        <f t="shared" si="5"/>
        <v>0.9174412174471791</v>
      </c>
      <c r="T32" s="49"/>
      <c r="V32" s="49"/>
    </row>
    <row r="33" spans="1:22">
      <c r="A33" s="21" t="s">
        <v>56</v>
      </c>
      <c r="B33" s="1">
        <f>C29/SQRT(C29^2+C32^2)</f>
        <v>1</v>
      </c>
      <c r="C33" s="1" t="s">
        <v>60</v>
      </c>
      <c r="D33" s="1">
        <f>SQRT(C29^2+C32^2)/(SQRT(3)*Vo)*1000</f>
        <v>2650.2239776027013</v>
      </c>
      <c r="F33" s="16"/>
      <c r="G33" s="49"/>
      <c r="H33" s="53">
        <f t="shared" si="11"/>
        <v>3873913.9382454571</v>
      </c>
      <c r="I33" s="53">
        <f t="shared" si="6"/>
        <v>1487837.5847738157</v>
      </c>
      <c r="J33" s="53">
        <f t="shared" si="0"/>
        <v>657.14289676245835</v>
      </c>
      <c r="K33" s="53">
        <f t="shared" si="7"/>
        <v>1807191.4535983969</v>
      </c>
      <c r="L33" s="53">
        <f t="shared" si="9"/>
        <v>1487837.5847738157</v>
      </c>
      <c r="M33" s="54">
        <f t="shared" si="8"/>
        <v>3873.9139382454573</v>
      </c>
      <c r="N33" s="54">
        <f t="shared" si="1"/>
        <v>1487.8375847738157</v>
      </c>
      <c r="O33" s="54">
        <f t="shared" si="2"/>
        <v>1487.8375847738157</v>
      </c>
      <c r="P33" s="54">
        <f t="shared" si="3"/>
        <v>949.71434237031542</v>
      </c>
      <c r="Q33" s="54">
        <f t="shared" si="4"/>
        <v>4149.8035953040007</v>
      </c>
      <c r="R33" s="54">
        <f t="shared" si="5"/>
        <v>0.9335174181807675</v>
      </c>
      <c r="T33" s="49"/>
      <c r="V33" s="49"/>
    </row>
    <row r="34" spans="1:22" ht="18.75">
      <c r="A34" s="23" t="s">
        <v>57</v>
      </c>
      <c r="B34" s="25">
        <f>Vdc_offset+Vac_to_Vdc*SQRT(3)*SQRT(K_1^2*Vo^2/3+K_2^2/3*($C$29^2+$C$32^2)*1000^2/Vo^2/Nm^2+2/3*K_1*K_2*$C$32*1000/Nm)</f>
        <v>889.39553148956304</v>
      </c>
      <c r="F34" s="16"/>
      <c r="G34" s="49"/>
      <c r="H34" s="53">
        <f t="shared" si="11"/>
        <v>3924239.9674486676</v>
      </c>
      <c r="I34" s="53">
        <f t="shared" si="6"/>
        <v>1280924.1292207246</v>
      </c>
      <c r="J34" s="53">
        <f t="shared" si="0"/>
        <v>652.00959521189213</v>
      </c>
      <c r="K34" s="53">
        <f t="shared" si="7"/>
        <v>1799398.2424172368</v>
      </c>
      <c r="L34" s="53">
        <f t="shared" si="9"/>
        <v>1280924.1292207246</v>
      </c>
      <c r="M34" s="54">
        <f t="shared" si="8"/>
        <v>3924.2399674486678</v>
      </c>
      <c r="N34" s="54">
        <f t="shared" ref="N34:N68" si="12">L34/1000</f>
        <v>1280.9241292207246</v>
      </c>
      <c r="O34" s="54">
        <f t="shared" ref="O34:O68" si="13">I34/1000</f>
        <v>1280.9241292207246</v>
      </c>
      <c r="P34" s="54">
        <f t="shared" ref="P34:P68" si="14">J34*1.43+10</f>
        <v>942.3737211530057</v>
      </c>
      <c r="Q34" s="54">
        <f t="shared" ref="Q34:Q68" si="15">SQRT(M34^2+N34^2)</f>
        <v>4128.0050807795033</v>
      </c>
      <c r="R34" s="54">
        <f t="shared" ref="R34:R68" si="16">M34/SQRT(M34^2+N34^2)</f>
        <v>0.95063835694398957</v>
      </c>
      <c r="T34" s="49"/>
      <c r="V34" s="49"/>
    </row>
    <row r="35" spans="1:22">
      <c r="A35" s="21" t="s">
        <v>58</v>
      </c>
      <c r="B35" s="1">
        <f>SQRT(3)*SQRT(K_1^2*Vo^2/3+K_2^2/3*($C$29^2+$C$32^2)*1000^2/Vo^2/Nm^2+2/3*K_1*K_2*$C$32*1000/Nm)</f>
        <v>614.96191013256146</v>
      </c>
      <c r="F35" s="16"/>
      <c r="G35" s="49"/>
      <c r="H35" s="53">
        <f t="shared" si="11"/>
        <v>3974565.9966518781</v>
      </c>
      <c r="I35" s="53">
        <f t="shared" si="6"/>
        <v>998459.08493146522</v>
      </c>
      <c r="J35" s="53">
        <f t="shared" si="0"/>
        <v>644.9359831535254</v>
      </c>
      <c r="K35" s="53">
        <f t="shared" si="7"/>
        <v>1791501.9828236494</v>
      </c>
      <c r="L35" s="53">
        <f t="shared" si="9"/>
        <v>998459.08493146522</v>
      </c>
      <c r="M35" s="54">
        <f t="shared" si="8"/>
        <v>3974.5659966518783</v>
      </c>
      <c r="N35" s="54">
        <f t="shared" si="12"/>
        <v>998.45908493146521</v>
      </c>
      <c r="O35" s="54">
        <f t="shared" si="13"/>
        <v>998.45908493146521</v>
      </c>
      <c r="P35" s="54">
        <f t="shared" si="14"/>
        <v>932.25845590954123</v>
      </c>
      <c r="Q35" s="54">
        <f t="shared" si="15"/>
        <v>4098.0599563724682</v>
      </c>
      <c r="R35" s="54">
        <f t="shared" si="16"/>
        <v>0.96986526282306895</v>
      </c>
      <c r="T35" s="49"/>
      <c r="V35" s="49"/>
    </row>
    <row r="36" spans="1:22">
      <c r="F36" s="16"/>
      <c r="G36" s="49"/>
      <c r="H36" s="53">
        <f t="shared" si="11"/>
        <v>4024892.0258550886</v>
      </c>
      <c r="I36" s="53">
        <f t="shared" si="6"/>
        <v>436037.21221097274</v>
      </c>
      <c r="J36" s="53">
        <f t="shared" si="0"/>
        <v>630.66198259885925</v>
      </c>
      <c r="K36" s="53">
        <f t="shared" si="7"/>
        <v>1783502.5777917914</v>
      </c>
      <c r="L36" s="53">
        <f t="shared" si="9"/>
        <v>436037.21221097274</v>
      </c>
      <c r="M36" s="54">
        <f t="shared" ref="M36:M68" si="17">IF(H36/1000&gt;$D$23,$D$23,H36/1000)</f>
        <v>4002.2761282216802</v>
      </c>
      <c r="N36" s="54">
        <f t="shared" si="12"/>
        <v>436.03721221097271</v>
      </c>
      <c r="O36" s="54">
        <f t="shared" si="13"/>
        <v>436.03721221097271</v>
      </c>
      <c r="P36" s="54">
        <f t="shared" si="14"/>
        <v>911.8466351163687</v>
      </c>
      <c r="Q36" s="54">
        <f t="shared" si="15"/>
        <v>4025.9586009999953</v>
      </c>
      <c r="R36" s="54">
        <f t="shared" si="16"/>
        <v>0.9941175568043763</v>
      </c>
      <c r="T36" s="49"/>
      <c r="V36" s="49"/>
    </row>
    <row r="37" spans="1:22">
      <c r="F37" s="16"/>
      <c r="G37" s="49"/>
      <c r="H37" s="53">
        <f t="shared" ref="H37:H52" si="18">-$B$22/80+H36</f>
        <v>3974565.9966518781</v>
      </c>
      <c r="I37" s="53">
        <f t="shared" ref="I37:I44" si="19">Nm*(-SQRT(IF(3/K_3^2*Ii^2*Vo^2-(H37/Nm)^2&lt;0.0000000001,0,3/K_3^2*Ii^2*Vo^2-(H37/Nm)^2))+Vo^2/K_3*K_4)</f>
        <v>-126384.66050951966</v>
      </c>
      <c r="J37" s="53">
        <f t="shared" si="0"/>
        <v>615.96184125656714</v>
      </c>
      <c r="K37" s="53">
        <f t="shared" ref="K37:K44" si="20">Nm*(-SQRT(Vi^2*Vo^2/K_2^2-(H37/Nm)^2)-Vo^2*K_1/K_2)</f>
        <v>-48542860.001320466</v>
      </c>
      <c r="L37" s="53">
        <f t="shared" si="9"/>
        <v>-126384.66050951966</v>
      </c>
      <c r="M37" s="54">
        <f t="shared" si="17"/>
        <v>3974.5659966518783</v>
      </c>
      <c r="N37" s="54">
        <f t="shared" si="12"/>
        <v>-126.38466050951966</v>
      </c>
      <c r="O37" s="54">
        <f t="shared" si="13"/>
        <v>-126.38466050951966</v>
      </c>
      <c r="P37" s="54">
        <f t="shared" si="14"/>
        <v>890.82543299689098</v>
      </c>
      <c r="Q37" s="54">
        <f t="shared" si="15"/>
        <v>3976.574901111941</v>
      </c>
      <c r="R37" s="54">
        <f t="shared" si="16"/>
        <v>0.9994948153850941</v>
      </c>
      <c r="T37" s="49"/>
    </row>
    <row r="38" spans="1:22">
      <c r="F38" s="16"/>
      <c r="G38" s="49"/>
      <c r="H38" s="53">
        <f t="shared" si="18"/>
        <v>3924239.9674486676</v>
      </c>
      <c r="I38" s="53">
        <f t="shared" si="19"/>
        <v>-408849.7047987791</v>
      </c>
      <c r="J38" s="53">
        <f t="shared" si="0"/>
        <v>608.46930900581117</v>
      </c>
      <c r="K38" s="53">
        <f t="shared" si="20"/>
        <v>-48550756.26091405</v>
      </c>
      <c r="L38" s="53">
        <f t="shared" si="9"/>
        <v>-408849.7047987791</v>
      </c>
      <c r="M38" s="54">
        <f t="shared" si="17"/>
        <v>3924.2399674486678</v>
      </c>
      <c r="N38" s="54">
        <f t="shared" si="12"/>
        <v>-408.8497047987791</v>
      </c>
      <c r="O38" s="54">
        <f t="shared" si="13"/>
        <v>-408.8497047987791</v>
      </c>
      <c r="P38" s="54">
        <f t="shared" si="14"/>
        <v>880.11111187830988</v>
      </c>
      <c r="Q38" s="54">
        <f t="shared" si="15"/>
        <v>3945.4806301939398</v>
      </c>
      <c r="R38" s="54">
        <f t="shared" si="16"/>
        <v>0.99461645747726612</v>
      </c>
      <c r="T38" s="49"/>
    </row>
    <row r="39" spans="1:22">
      <c r="F39" s="16"/>
      <c r="G39" s="49"/>
      <c r="H39" s="53">
        <f t="shared" si="18"/>
        <v>3873913.9382454571</v>
      </c>
      <c r="I39" s="53">
        <f t="shared" si="19"/>
        <v>-615763.16035187035</v>
      </c>
      <c r="J39" s="53">
        <f t="shared" si="0"/>
        <v>602.92174076328467</v>
      </c>
      <c r="K39" s="53">
        <f t="shared" si="20"/>
        <v>-48558549.472095214</v>
      </c>
      <c r="L39" s="53">
        <f t="shared" si="9"/>
        <v>-615763.16035187035</v>
      </c>
      <c r="M39" s="54">
        <f t="shared" si="17"/>
        <v>3873.9139382454573</v>
      </c>
      <c r="N39" s="54">
        <f t="shared" si="12"/>
        <v>-615.7631603518704</v>
      </c>
      <c r="O39" s="54">
        <f t="shared" si="13"/>
        <v>-615.7631603518704</v>
      </c>
      <c r="P39" s="54">
        <f t="shared" si="14"/>
        <v>872.17808929149703</v>
      </c>
      <c r="Q39" s="54">
        <f t="shared" si="15"/>
        <v>3922.546809227259</v>
      </c>
      <c r="R39" s="54">
        <f t="shared" si="16"/>
        <v>0.98760171048376033</v>
      </c>
      <c r="T39" s="49"/>
    </row>
    <row r="40" spans="1:22">
      <c r="F40" s="16"/>
      <c r="G40" s="49"/>
      <c r="H40" s="53">
        <f t="shared" si="18"/>
        <v>3823587.9090422466</v>
      </c>
      <c r="I40" s="53">
        <f t="shared" si="19"/>
        <v>-786120.19437858055</v>
      </c>
      <c r="J40" s="53">
        <f t="shared" si="0"/>
        <v>598.31568175882876</v>
      </c>
      <c r="K40" s="53">
        <f t="shared" si="20"/>
        <v>-48566239.730504304</v>
      </c>
      <c r="L40" s="53">
        <f t="shared" si="9"/>
        <v>-786120.19437858055</v>
      </c>
      <c r="M40" s="54">
        <f t="shared" si="17"/>
        <v>3823.5879090422468</v>
      </c>
      <c r="N40" s="54">
        <f t="shared" si="12"/>
        <v>-786.12019437858055</v>
      </c>
      <c r="O40" s="54">
        <f t="shared" si="13"/>
        <v>-786.12019437858055</v>
      </c>
      <c r="P40" s="54">
        <f t="shared" si="14"/>
        <v>865.59142491512512</v>
      </c>
      <c r="Q40" s="54">
        <f t="shared" si="15"/>
        <v>3903.563686963987</v>
      </c>
      <c r="R40" s="54">
        <f t="shared" si="16"/>
        <v>0.97951211141019146</v>
      </c>
      <c r="T40" s="49"/>
    </row>
    <row r="41" spans="1:22">
      <c r="F41" s="16"/>
      <c r="G41" s="49"/>
      <c r="H41" s="53">
        <f t="shared" si="18"/>
        <v>3773261.8798390361</v>
      </c>
      <c r="I41" s="53">
        <f t="shared" si="19"/>
        <v>-933629.9045766592</v>
      </c>
      <c r="J41" s="53">
        <f t="shared" si="0"/>
        <v>594.29852377204952</v>
      </c>
      <c r="K41" s="53">
        <f t="shared" si="20"/>
        <v>-48573827.130402237</v>
      </c>
      <c r="L41" s="53">
        <f t="shared" si="9"/>
        <v>-933629.9045766592</v>
      </c>
      <c r="M41" s="54">
        <f t="shared" si="17"/>
        <v>3773.2618798390363</v>
      </c>
      <c r="N41" s="54">
        <f t="shared" si="12"/>
        <v>-933.62990457665921</v>
      </c>
      <c r="O41" s="54">
        <f t="shared" si="13"/>
        <v>-933.62990457665921</v>
      </c>
      <c r="P41" s="54">
        <f t="shared" si="14"/>
        <v>859.84688899403079</v>
      </c>
      <c r="Q41" s="54">
        <f t="shared" si="15"/>
        <v>3887.0515834712355</v>
      </c>
      <c r="R41" s="54">
        <f t="shared" si="16"/>
        <v>0.97072595997540578</v>
      </c>
      <c r="T41" s="49"/>
    </row>
    <row r="42" spans="1:22">
      <c r="F42" s="16"/>
      <c r="G42" s="49"/>
      <c r="H42" s="53">
        <f t="shared" si="18"/>
        <v>3722935.8506358257</v>
      </c>
      <c r="I42" s="53">
        <f t="shared" si="19"/>
        <v>-1065043.0243874125</v>
      </c>
      <c r="J42" s="53">
        <f t="shared" si="0"/>
        <v>590.69671708636452</v>
      </c>
      <c r="K42" s="53">
        <f t="shared" si="20"/>
        <v>-48581311.764676414</v>
      </c>
      <c r="L42" s="53">
        <f t="shared" si="9"/>
        <v>-1065043.0243874125</v>
      </c>
      <c r="M42" s="54">
        <f t="shared" si="17"/>
        <v>3722.9358506358258</v>
      </c>
      <c r="N42" s="54">
        <f t="shared" si="12"/>
        <v>-1065.0430243874125</v>
      </c>
      <c r="O42" s="54">
        <f t="shared" si="13"/>
        <v>-1065.0430243874125</v>
      </c>
      <c r="P42" s="54">
        <f t="shared" si="14"/>
        <v>854.69630543350127</v>
      </c>
      <c r="Q42" s="54">
        <f t="shared" si="15"/>
        <v>3872.2820134574117</v>
      </c>
      <c r="R42" s="54">
        <f t="shared" si="16"/>
        <v>0.96143200254977279</v>
      </c>
      <c r="T42" s="49"/>
    </row>
    <row r="43" spans="1:22">
      <c r="F43" s="16"/>
      <c r="G43" s="49"/>
      <c r="H43" s="53">
        <f t="shared" si="18"/>
        <v>3672609.8214326152</v>
      </c>
      <c r="I43" s="53">
        <f t="shared" si="19"/>
        <v>-1184280.757871584</v>
      </c>
      <c r="J43" s="53">
        <f t="shared" si="0"/>
        <v>587.40950638370862</v>
      </c>
      <c r="K43" s="53">
        <f t="shared" si="20"/>
        <v>-48588693.724846609</v>
      </c>
      <c r="L43" s="53">
        <f t="shared" si="9"/>
        <v>-1184280.757871584</v>
      </c>
      <c r="M43" s="54">
        <f t="shared" si="17"/>
        <v>3672.6098214326153</v>
      </c>
      <c r="N43" s="54">
        <f t="shared" si="12"/>
        <v>-1184.280757871584</v>
      </c>
      <c r="O43" s="54">
        <f t="shared" si="13"/>
        <v>-1184.280757871584</v>
      </c>
      <c r="P43" s="54">
        <f t="shared" si="14"/>
        <v>849.99559412870326</v>
      </c>
      <c r="Q43" s="54">
        <f t="shared" si="15"/>
        <v>3858.8319235162598</v>
      </c>
      <c r="R43" s="54">
        <f t="shared" si="16"/>
        <v>0.951741328522556</v>
      </c>
      <c r="T43" s="49"/>
    </row>
    <row r="44" spans="1:22">
      <c r="F44" s="16"/>
      <c r="G44" s="49"/>
      <c r="H44" s="53">
        <f t="shared" si="18"/>
        <v>3622283.7922294047</v>
      </c>
      <c r="I44" s="53">
        <f t="shared" si="19"/>
        <v>-1293862.5979537447</v>
      </c>
      <c r="J44" s="53">
        <f t="shared" si="0"/>
        <v>584.37218911424816</v>
      </c>
      <c r="K44" s="53">
        <f t="shared" si="20"/>
        <v>-48595973.101070702</v>
      </c>
      <c r="L44" s="53">
        <f t="shared" si="9"/>
        <v>-1293862.5979537447</v>
      </c>
      <c r="M44" s="54">
        <f t="shared" si="17"/>
        <v>3622.2837922294048</v>
      </c>
      <c r="N44" s="54">
        <f t="shared" si="12"/>
        <v>-1293.8625979537446</v>
      </c>
      <c r="O44" s="54">
        <f t="shared" si="13"/>
        <v>-1293.8625979537446</v>
      </c>
      <c r="P44" s="54">
        <f t="shared" si="14"/>
        <v>845.65223043337483</v>
      </c>
      <c r="Q44" s="54">
        <f t="shared" si="15"/>
        <v>3846.4295513932725</v>
      </c>
      <c r="R44" s="54">
        <f t="shared" si="16"/>
        <v>0.94172627987358393</v>
      </c>
      <c r="T44" s="49"/>
    </row>
    <row r="45" spans="1:22">
      <c r="F45" s="16"/>
      <c r="G45" s="49"/>
      <c r="H45" s="53">
        <f t="shared" si="18"/>
        <v>3571957.7630261942</v>
      </c>
      <c r="I45" s="53">
        <f t="shared" ref="I45:I68" si="21">Nm*(-SQRT(IF(3/K_3^2*Ii^2*Vo^2-(H45/Nm)^2&lt;0.0000000001,0,3/K_3^2*Ii^2*Vo^2-(H45/Nm)^2))+Vo^2/K_3*K_4)</f>
        <v>-1395522.4957463378</v>
      </c>
      <c r="J45" s="53">
        <f t="shared" ref="J45:J68" si="22">SQRT(3)*SQRT((Vo/SQRT(3)*K_1+SQRT(H45^2+I45^2)/SQRT(3)/Vo/Nm*I45/SQRT(H45^2+I45^2)*K_2)^2+(SQRT(H45^2+I45^2)/SQRT(3)/Vo/Nm*H45/SQRT(H45^2+I45^2)*K_2)^2)</f>
        <v>581.54026241151155</v>
      </c>
      <c r="K45" s="53">
        <f t="shared" ref="K45:K68" si="23">Nm*(-SQRT(Vi^2*Vo^2/K_2^2-(H45/Nm)^2)-Vo^2*K_1/K_2)</f>
        <v>-48603149.982150376</v>
      </c>
      <c r="L45" s="53">
        <f t="shared" ref="L45:L56" si="24">IF(ABS(I45)&lt;ABS(K45),I45,K45)</f>
        <v>-1395522.4957463378</v>
      </c>
      <c r="M45" s="54">
        <f t="shared" si="17"/>
        <v>3571.9577630261942</v>
      </c>
      <c r="N45" s="54">
        <f t="shared" si="12"/>
        <v>-1395.5224957463379</v>
      </c>
      <c r="O45" s="54">
        <f t="shared" si="13"/>
        <v>-1395.5224957463379</v>
      </c>
      <c r="P45" s="54">
        <f t="shared" si="14"/>
        <v>841.60257524846145</v>
      </c>
      <c r="Q45" s="54">
        <f t="shared" si="15"/>
        <v>3834.8879119183111</v>
      </c>
      <c r="R45" s="54">
        <f t="shared" si="16"/>
        <v>0.93143733143412988</v>
      </c>
      <c r="T45" s="49"/>
    </row>
    <row r="46" spans="1:22">
      <c r="F46" s="16"/>
      <c r="G46" s="49"/>
      <c r="H46" s="53">
        <f t="shared" si="18"/>
        <v>3521631.7338229837</v>
      </c>
      <c r="I46" s="53">
        <f t="shared" si="21"/>
        <v>-1490514.9298258545</v>
      </c>
      <c r="J46" s="53">
        <f t="shared" si="22"/>
        <v>578.88154969437585</v>
      </c>
      <c r="K46" s="53">
        <f t="shared" si="23"/>
        <v>-48610224.455536619</v>
      </c>
      <c r="L46" s="53">
        <f t="shared" si="24"/>
        <v>-1490514.9298258545</v>
      </c>
      <c r="M46" s="54">
        <f t="shared" si="17"/>
        <v>3521.6317338229837</v>
      </c>
      <c r="N46" s="54">
        <f t="shared" si="12"/>
        <v>-1490.5149298258546</v>
      </c>
      <c r="O46" s="54">
        <f t="shared" si="13"/>
        <v>-1490.5149298258546</v>
      </c>
      <c r="P46" s="54">
        <f t="shared" si="14"/>
        <v>837.80061606295737</v>
      </c>
      <c r="Q46" s="54">
        <f t="shared" si="15"/>
        <v>3824.0717598788401</v>
      </c>
      <c r="R46" s="54">
        <f t="shared" si="16"/>
        <v>0.92091151917467184</v>
      </c>
      <c r="T46" s="49"/>
    </row>
    <row r="47" spans="1:22">
      <c r="F47" s="16"/>
      <c r="G47" s="49"/>
      <c r="H47" s="53">
        <f t="shared" si="18"/>
        <v>3471305.7046197732</v>
      </c>
      <c r="I47" s="53">
        <f t="shared" si="21"/>
        <v>-1579782.7027938324</v>
      </c>
      <c r="J47" s="53">
        <f t="shared" si="22"/>
        <v>576.37188493651172</v>
      </c>
      <c r="K47" s="53">
        <f t="shared" si="23"/>
        <v>-48617196.607335269</v>
      </c>
      <c r="L47" s="53">
        <f t="shared" si="24"/>
        <v>-1579782.7027938324</v>
      </c>
      <c r="M47" s="54">
        <f t="shared" si="17"/>
        <v>3471.3057046197732</v>
      </c>
      <c r="N47" s="54">
        <f t="shared" si="12"/>
        <v>-1579.7827027938324</v>
      </c>
      <c r="O47" s="54">
        <f t="shared" si="13"/>
        <v>-1579.7827027938324</v>
      </c>
      <c r="P47" s="54">
        <f t="shared" si="14"/>
        <v>834.21179545921177</v>
      </c>
      <c r="Q47" s="54">
        <f t="shared" si="15"/>
        <v>3813.8794793454563</v>
      </c>
      <c r="R47" s="54">
        <f t="shared" si="16"/>
        <v>0.91017708436227873</v>
      </c>
      <c r="T47" s="49"/>
    </row>
    <row r="48" spans="1:22">
      <c r="F48" s="16"/>
      <c r="G48" s="49"/>
      <c r="H48" s="53">
        <f t="shared" si="18"/>
        <v>3420979.6754165627</v>
      </c>
      <c r="I48" s="53">
        <f t="shared" si="21"/>
        <v>-1664055.9488279731</v>
      </c>
      <c r="J48" s="53">
        <f t="shared" si="22"/>
        <v>573.99256660898368</v>
      </c>
      <c r="K48" s="53">
        <f t="shared" si="23"/>
        <v>-48624066.522312313</v>
      </c>
      <c r="L48" s="53">
        <f t="shared" si="24"/>
        <v>-1664055.9488279731</v>
      </c>
      <c r="M48" s="54">
        <f t="shared" si="17"/>
        <v>3420.9796754165627</v>
      </c>
      <c r="N48" s="54">
        <f t="shared" si="12"/>
        <v>-1664.055948827973</v>
      </c>
      <c r="O48" s="54">
        <f t="shared" si="13"/>
        <v>-1664.055948827973</v>
      </c>
      <c r="P48" s="54">
        <f t="shared" si="14"/>
        <v>830.80937025084665</v>
      </c>
      <c r="Q48" s="54">
        <f t="shared" si="15"/>
        <v>3804.2323983220285</v>
      </c>
      <c r="R48" s="54">
        <f t="shared" si="16"/>
        <v>0.89925622759679169</v>
      </c>
      <c r="T48" s="49"/>
    </row>
    <row r="49" spans="6:20">
      <c r="F49" s="16"/>
      <c r="G49" s="49"/>
      <c r="H49" s="53">
        <f t="shared" si="18"/>
        <v>3370653.6462133522</v>
      </c>
      <c r="I49" s="53">
        <f t="shared" si="21"/>
        <v>-1743913.9849318431</v>
      </c>
      <c r="J49" s="53">
        <f t="shared" si="22"/>
        <v>571.72876738903915</v>
      </c>
      <c r="K49" s="53">
        <f t="shared" si="23"/>
        <v>-48630834.283899233</v>
      </c>
      <c r="L49" s="53">
        <f t="shared" si="24"/>
        <v>-1743913.9849318431</v>
      </c>
      <c r="M49" s="54">
        <f t="shared" si="17"/>
        <v>3370.6536462133522</v>
      </c>
      <c r="N49" s="54">
        <f t="shared" si="12"/>
        <v>-1743.9139849318431</v>
      </c>
      <c r="O49" s="54">
        <f t="shared" si="13"/>
        <v>-1743.9139849318431</v>
      </c>
      <c r="P49" s="54">
        <f t="shared" si="14"/>
        <v>827.57213736632593</v>
      </c>
      <c r="Q49" s="54">
        <f t="shared" si="15"/>
        <v>3795.0681139568796</v>
      </c>
      <c r="R49" s="54">
        <f t="shared" si="16"/>
        <v>0.88816683785392803</v>
      </c>
      <c r="T49" s="49"/>
    </row>
    <row r="50" spans="6:20">
      <c r="F50" s="16"/>
      <c r="G50" s="49"/>
      <c r="H50" s="53">
        <f t="shared" si="18"/>
        <v>3320327.6170101417</v>
      </c>
      <c r="I50" s="53">
        <f t="shared" si="21"/>
        <v>-1819825.7580014281</v>
      </c>
      <c r="J50" s="53">
        <f t="shared" si="22"/>
        <v>569.56849437597816</v>
      </c>
      <c r="K50" s="53">
        <f t="shared" si="23"/>
        <v>-48637499.974198148</v>
      </c>
      <c r="L50" s="53">
        <f t="shared" si="24"/>
        <v>-1819825.7580014281</v>
      </c>
      <c r="M50" s="54">
        <f t="shared" si="17"/>
        <v>3320.3276170101417</v>
      </c>
      <c r="N50" s="54">
        <f t="shared" si="12"/>
        <v>-1819.8257580014281</v>
      </c>
      <c r="O50" s="54">
        <f t="shared" si="13"/>
        <v>-1819.8257580014281</v>
      </c>
      <c r="P50" s="54">
        <f t="shared" si="14"/>
        <v>824.48294695764878</v>
      </c>
      <c r="Q50" s="54">
        <f t="shared" si="15"/>
        <v>3786.3361279429109</v>
      </c>
      <c r="R50" s="54">
        <f t="shared" si="16"/>
        <v>0.87692362875718899</v>
      </c>
      <c r="T50" s="49"/>
    </row>
    <row r="51" spans="6:20">
      <c r="F51" s="16"/>
      <c r="G51" s="49"/>
      <c r="H51" s="53">
        <f t="shared" si="18"/>
        <v>3270001.5878069312</v>
      </c>
      <c r="I51" s="53">
        <f t="shared" si="21"/>
        <v>-1892177.3054819119</v>
      </c>
      <c r="J51" s="53">
        <f t="shared" si="22"/>
        <v>567.50188326991849</v>
      </c>
      <c r="K51" s="53">
        <f t="shared" si="23"/>
        <v>-48644063.673986956</v>
      </c>
      <c r="L51" s="53">
        <f t="shared" si="24"/>
        <v>-1892177.3054819119</v>
      </c>
      <c r="M51" s="54">
        <f t="shared" si="17"/>
        <v>3270.0015878069312</v>
      </c>
      <c r="N51" s="54">
        <f t="shared" si="12"/>
        <v>-1892.1773054819118</v>
      </c>
      <c r="O51" s="54">
        <f t="shared" si="13"/>
        <v>-1892.1773054819118</v>
      </c>
      <c r="P51" s="54">
        <f t="shared" si="14"/>
        <v>821.52769307598339</v>
      </c>
      <c r="Q51" s="54">
        <f t="shared" si="15"/>
        <v>3777.9948834852385</v>
      </c>
      <c r="R51" s="54">
        <f t="shared" si="16"/>
        <v>0.86553891380348347</v>
      </c>
      <c r="T51" s="49"/>
    </row>
    <row r="52" spans="6:20">
      <c r="F52" s="16"/>
      <c r="G52" s="49"/>
      <c r="H52" s="53">
        <f t="shared" si="18"/>
        <v>3219675.5586037207</v>
      </c>
      <c r="I52" s="53">
        <f t="shared" si="21"/>
        <v>-1961290.9926841313</v>
      </c>
      <c r="J52" s="53">
        <f t="shared" si="22"/>
        <v>565.52070399777972</v>
      </c>
      <c r="K52" s="53">
        <f t="shared" si="23"/>
        <v>-48650525.462724328</v>
      </c>
      <c r="L52" s="53">
        <f t="shared" si="24"/>
        <v>-1961290.9926841313</v>
      </c>
      <c r="M52" s="54">
        <f t="shared" si="17"/>
        <v>3219.6755586037207</v>
      </c>
      <c r="N52" s="54">
        <f t="shared" si="12"/>
        <v>-1961.2909926841312</v>
      </c>
      <c r="O52" s="54">
        <f t="shared" si="13"/>
        <v>-1961.2909926841312</v>
      </c>
      <c r="P52" s="54">
        <f t="shared" si="14"/>
        <v>818.69460671682498</v>
      </c>
      <c r="Q52" s="54">
        <f t="shared" si="15"/>
        <v>3770.0096897294688</v>
      </c>
      <c r="R52" s="54">
        <f t="shared" si="16"/>
        <v>0.8540231520823387</v>
      </c>
      <c r="T52" s="49"/>
    </row>
    <row r="53" spans="6:20">
      <c r="F53" s="16"/>
      <c r="G53" s="49"/>
      <c r="H53" s="53">
        <f t="shared" ref="H53:H68" si="25">-$B$22/20+H52</f>
        <v>3018371.4417908783</v>
      </c>
      <c r="I53" s="53">
        <f t="shared" si="21"/>
        <v>-2210267.2041472467</v>
      </c>
      <c r="J53" s="53">
        <f t="shared" si="22"/>
        <v>558.32539761983787</v>
      </c>
      <c r="K53" s="53">
        <f t="shared" si="23"/>
        <v>-48675355.050431937</v>
      </c>
      <c r="L53" s="53">
        <f t="shared" si="24"/>
        <v>-2210267.2041472467</v>
      </c>
      <c r="M53" s="54">
        <f t="shared" si="17"/>
        <v>3018.3714417908782</v>
      </c>
      <c r="N53" s="54">
        <f t="shared" si="12"/>
        <v>-2210.2672041472465</v>
      </c>
      <c r="O53" s="54">
        <f t="shared" si="13"/>
        <v>-2210.2672041472465</v>
      </c>
      <c r="P53" s="54">
        <f t="shared" si="14"/>
        <v>808.40531859636815</v>
      </c>
      <c r="Q53" s="54">
        <f t="shared" si="15"/>
        <v>3741.1024143088666</v>
      </c>
      <c r="R53" s="54">
        <f t="shared" si="16"/>
        <v>0.80681336876699583</v>
      </c>
      <c r="T53" s="49"/>
    </row>
    <row r="54" spans="6:20">
      <c r="F54" s="16"/>
      <c r="G54" s="49"/>
      <c r="H54" s="53">
        <f t="shared" si="25"/>
        <v>2817067.3249780359</v>
      </c>
      <c r="I54" s="53">
        <f t="shared" si="21"/>
        <v>-2423617.4716970078</v>
      </c>
      <c r="J54" s="53">
        <f t="shared" si="22"/>
        <v>552.08506228357976</v>
      </c>
      <c r="K54" s="53">
        <f t="shared" si="23"/>
        <v>-48698560.078273624</v>
      </c>
      <c r="L54" s="53">
        <f t="shared" si="24"/>
        <v>-2423617.4716970078</v>
      </c>
      <c r="M54" s="54">
        <f t="shared" si="17"/>
        <v>2817.0673249780357</v>
      </c>
      <c r="N54" s="54">
        <f t="shared" si="12"/>
        <v>-2423.6174716970077</v>
      </c>
      <c r="O54" s="54">
        <f t="shared" si="13"/>
        <v>-2423.6174716970077</v>
      </c>
      <c r="P54" s="54">
        <f t="shared" si="14"/>
        <v>799.48163906551906</v>
      </c>
      <c r="Q54" s="54">
        <f t="shared" si="15"/>
        <v>3716.1525752549369</v>
      </c>
      <c r="R54" s="54">
        <f t="shared" si="16"/>
        <v>0.75806018938411812</v>
      </c>
      <c r="T54" s="49"/>
    </row>
    <row r="55" spans="6:20">
      <c r="F55" s="16"/>
      <c r="G55" s="49"/>
      <c r="H55" s="53">
        <f t="shared" si="25"/>
        <v>2615763.2081651934</v>
      </c>
      <c r="I55" s="53">
        <f t="shared" si="21"/>
        <v>-2608839.8072210262</v>
      </c>
      <c r="J55" s="53">
        <f t="shared" si="22"/>
        <v>546.60967817982703</v>
      </c>
      <c r="K55" s="53">
        <f t="shared" si="23"/>
        <v>-48720145.008520588</v>
      </c>
      <c r="L55" s="53">
        <f t="shared" si="24"/>
        <v>-2608839.8072210262</v>
      </c>
      <c r="M55" s="54">
        <f t="shared" si="17"/>
        <v>2615.7632081651936</v>
      </c>
      <c r="N55" s="54">
        <f t="shared" si="12"/>
        <v>-2608.8398072210261</v>
      </c>
      <c r="O55" s="54">
        <f t="shared" si="13"/>
        <v>-2608.8398072210261</v>
      </c>
      <c r="P55" s="54">
        <f t="shared" si="14"/>
        <v>791.65183979715266</v>
      </c>
      <c r="Q55" s="54">
        <f t="shared" si="15"/>
        <v>3694.3554648858176</v>
      </c>
      <c r="R55" s="54">
        <f t="shared" si="16"/>
        <v>0.70804318453585513</v>
      </c>
      <c r="T55" s="49"/>
    </row>
    <row r="56" spans="6:20">
      <c r="F56" s="16"/>
      <c r="G56" s="49"/>
      <c r="H56" s="53">
        <f t="shared" si="25"/>
        <v>2414459.091352351</v>
      </c>
      <c r="I56" s="53">
        <f t="shared" si="21"/>
        <v>-2770811.7896663751</v>
      </c>
      <c r="J56" s="53">
        <f t="shared" si="22"/>
        <v>541.77625011066618</v>
      </c>
      <c r="K56" s="53">
        <f t="shared" si="23"/>
        <v>-48740113.977243274</v>
      </c>
      <c r="L56" s="53">
        <f t="shared" si="24"/>
        <v>-2770811.7896663751</v>
      </c>
      <c r="M56" s="54">
        <f t="shared" si="17"/>
        <v>2414.4590913523512</v>
      </c>
      <c r="N56" s="54">
        <f t="shared" si="12"/>
        <v>-2770.8117896663753</v>
      </c>
      <c r="O56" s="54">
        <f t="shared" si="13"/>
        <v>-2770.8117896663753</v>
      </c>
      <c r="P56" s="54">
        <f t="shared" si="14"/>
        <v>784.74003765825262</v>
      </c>
      <c r="Q56" s="54">
        <f t="shared" si="15"/>
        <v>3675.1885227248144</v>
      </c>
      <c r="R56" s="54">
        <f t="shared" si="16"/>
        <v>0.65696196982087107</v>
      </c>
      <c r="T56" s="49"/>
    </row>
    <row r="57" spans="6:20">
      <c r="F57" s="16"/>
      <c r="G57" s="49"/>
      <c r="H57" s="53">
        <f t="shared" si="25"/>
        <v>2213154.9745395086</v>
      </c>
      <c r="I57" s="53">
        <f t="shared" si="21"/>
        <v>-2912908.6343692294</v>
      </c>
      <c r="J57" s="53">
        <f t="shared" si="22"/>
        <v>537.50012855154353</v>
      </c>
      <c r="K57" s="53">
        <f t="shared" si="23"/>
        <v>-48758470.798335075</v>
      </c>
      <c r="L57" s="53">
        <f t="shared" ref="L57:L68" si="26">IF(ABS(I57)&lt;ABS(K57),I57,K57)</f>
        <v>-2912908.6343692294</v>
      </c>
      <c r="M57" s="54">
        <f t="shared" si="17"/>
        <v>2213.1549745395087</v>
      </c>
      <c r="N57" s="54">
        <f t="shared" si="12"/>
        <v>-2912.9086343692293</v>
      </c>
      <c r="O57" s="54">
        <f t="shared" si="13"/>
        <v>-2912.9086343692293</v>
      </c>
      <c r="P57" s="54">
        <f t="shared" si="14"/>
        <v>778.62518382870724</v>
      </c>
      <c r="Q57" s="54">
        <f t="shared" si="15"/>
        <v>3658.290810407475</v>
      </c>
      <c r="R57" s="54">
        <f t="shared" si="16"/>
        <v>0.60496966732204616</v>
      </c>
      <c r="T57" s="49"/>
    </row>
    <row r="58" spans="6:20">
      <c r="F58" s="16"/>
      <c r="G58" s="49"/>
      <c r="H58" s="53">
        <f t="shared" si="25"/>
        <v>2011850.8577266661</v>
      </c>
      <c r="I58" s="53">
        <f t="shared" si="21"/>
        <v>-3037570.3290809677</v>
      </c>
      <c r="J58" s="53">
        <f t="shared" si="22"/>
        <v>533.72047154082338</v>
      </c>
      <c r="K58" s="53">
        <f t="shared" si="23"/>
        <v>-48775218.967202745</v>
      </c>
      <c r="L58" s="53">
        <f t="shared" si="26"/>
        <v>-3037570.3290809677</v>
      </c>
      <c r="M58" s="54">
        <f t="shared" si="17"/>
        <v>2011.8508577266662</v>
      </c>
      <c r="N58" s="54">
        <f t="shared" si="12"/>
        <v>-3037.5703290809679</v>
      </c>
      <c r="O58" s="54">
        <f t="shared" si="13"/>
        <v>-3037.5703290809679</v>
      </c>
      <c r="P58" s="54">
        <f t="shared" si="14"/>
        <v>773.22027430337744</v>
      </c>
      <c r="Q58" s="54">
        <f t="shared" si="15"/>
        <v>3643.4018962843752</v>
      </c>
      <c r="R58" s="54">
        <f t="shared" si="16"/>
        <v>0.55219020986358869</v>
      </c>
      <c r="T58" s="49"/>
    </row>
    <row r="59" spans="6:20">
      <c r="F59" s="16"/>
      <c r="G59" s="49"/>
      <c r="H59" s="53">
        <f t="shared" si="25"/>
        <v>1810546.7409138237</v>
      </c>
      <c r="I59" s="53">
        <f t="shared" si="21"/>
        <v>-3146617.351603698</v>
      </c>
      <c r="J59" s="53">
        <f t="shared" si="22"/>
        <v>530.3921559815476</v>
      </c>
      <c r="K59" s="53">
        <f t="shared" si="23"/>
        <v>-48790361.664131604</v>
      </c>
      <c r="L59" s="53">
        <f t="shared" si="26"/>
        <v>-3146617.351603698</v>
      </c>
      <c r="M59" s="54">
        <f t="shared" si="17"/>
        <v>1810.5467409138237</v>
      </c>
      <c r="N59" s="54">
        <f t="shared" si="12"/>
        <v>-3146.6173516036979</v>
      </c>
      <c r="O59" s="54">
        <f t="shared" si="13"/>
        <v>-3146.6173516036979</v>
      </c>
      <c r="P59" s="54">
        <f t="shared" si="14"/>
        <v>768.460783053613</v>
      </c>
      <c r="Q59" s="54">
        <f t="shared" si="15"/>
        <v>3630.327844485555</v>
      </c>
      <c r="R59" s="54">
        <f t="shared" si="16"/>
        <v>0.49872816408689719</v>
      </c>
      <c r="T59" s="49"/>
    </row>
    <row r="60" spans="6:20">
      <c r="F60" s="16"/>
      <c r="G60" s="49"/>
      <c r="H60" s="53">
        <f t="shared" si="25"/>
        <v>1609242.6241009813</v>
      </c>
      <c r="I60" s="53">
        <f t="shared" si="21"/>
        <v>-3241439.0149633577</v>
      </c>
      <c r="J60" s="53">
        <f t="shared" si="22"/>
        <v>527.48095444677438</v>
      </c>
      <c r="K60" s="53">
        <f t="shared" si="23"/>
        <v>-48803901.75733348</v>
      </c>
      <c r="L60" s="53">
        <f t="shared" si="26"/>
        <v>-3241439.0149633577</v>
      </c>
      <c r="M60" s="54">
        <f t="shared" si="17"/>
        <v>1609.2426241009812</v>
      </c>
      <c r="N60" s="54">
        <f t="shared" si="12"/>
        <v>-3241.4390149633577</v>
      </c>
      <c r="O60" s="54">
        <f t="shared" si="13"/>
        <v>-3241.4390149633577</v>
      </c>
      <c r="P60" s="54">
        <f t="shared" si="14"/>
        <v>764.29776485888738</v>
      </c>
      <c r="Q60" s="54">
        <f t="shared" si="15"/>
        <v>3618.9209318455737</v>
      </c>
      <c r="R60" s="54">
        <f t="shared" si="16"/>
        <v>0.44467471227129057</v>
      </c>
      <c r="T60" s="49"/>
    </row>
    <row r="61" spans="6:20">
      <c r="F61" s="16"/>
      <c r="G61" s="49"/>
      <c r="H61" s="53">
        <f t="shared" si="25"/>
        <v>1407938.5072881388</v>
      </c>
      <c r="I61" s="53">
        <f t="shared" si="21"/>
        <v>-3323111.9447593926</v>
      </c>
      <c r="J61" s="53">
        <f t="shared" si="22"/>
        <v>524.96050223103794</v>
      </c>
      <c r="K61" s="53">
        <f t="shared" si="23"/>
        <v>-48815841.805684075</v>
      </c>
      <c r="L61" s="53">
        <f t="shared" si="26"/>
        <v>-3323111.9447593926</v>
      </c>
      <c r="M61" s="54">
        <f t="shared" si="17"/>
        <v>1407.9385072881389</v>
      </c>
      <c r="N61" s="54">
        <f t="shared" si="12"/>
        <v>-3323.1119447593928</v>
      </c>
      <c r="O61" s="54">
        <f t="shared" si="13"/>
        <v>-3323.1119447593928</v>
      </c>
      <c r="P61" s="54">
        <f t="shared" si="14"/>
        <v>760.69351819038422</v>
      </c>
      <c r="Q61" s="54">
        <f t="shared" si="15"/>
        <v>3609.066892938853</v>
      </c>
      <c r="R61" s="54">
        <f t="shared" si="16"/>
        <v>0.39011150223975444</v>
      </c>
      <c r="T61" s="49"/>
    </row>
    <row r="62" spans="6:20">
      <c r="F62" s="16"/>
      <c r="G62" s="49"/>
      <c r="H62" s="53">
        <f t="shared" si="25"/>
        <v>1206634.3904752964</v>
      </c>
      <c r="I62" s="53">
        <f t="shared" si="21"/>
        <v>-3392477.7312596766</v>
      </c>
      <c r="J62" s="53">
        <f t="shared" si="22"/>
        <v>522.81030994728064</v>
      </c>
      <c r="K62" s="53">
        <f t="shared" si="23"/>
        <v>-48826184.061156057</v>
      </c>
      <c r="L62" s="53">
        <f t="shared" si="26"/>
        <v>-3392477.7312596766</v>
      </c>
      <c r="M62" s="54">
        <f t="shared" si="17"/>
        <v>1206.6343904752964</v>
      </c>
      <c r="N62" s="54">
        <f t="shared" si="12"/>
        <v>-3392.4777312596766</v>
      </c>
      <c r="O62" s="54">
        <f t="shared" si="13"/>
        <v>-3392.4777312596766</v>
      </c>
      <c r="P62" s="54">
        <f t="shared" si="14"/>
        <v>757.61874322461131</v>
      </c>
      <c r="Q62" s="54">
        <f t="shared" si="15"/>
        <v>3600.6765627268569</v>
      </c>
      <c r="R62" s="54">
        <f t="shared" si="16"/>
        <v>0.3351132403743286</v>
      </c>
      <c r="T62" s="49"/>
    </row>
    <row r="63" spans="6:20">
      <c r="F63" s="16"/>
      <c r="G63" s="49"/>
      <c r="H63" s="53">
        <f t="shared" si="25"/>
        <v>1005330.273662454</v>
      </c>
      <c r="I63" s="53">
        <f t="shared" si="21"/>
        <v>-3450195.4449408785</v>
      </c>
      <c r="J63" s="53">
        <f t="shared" si="22"/>
        <v>521.01441959213957</v>
      </c>
      <c r="K63" s="53">
        <f t="shared" si="23"/>
        <v>-48834930.470953092</v>
      </c>
      <c r="L63" s="53">
        <f t="shared" si="26"/>
        <v>-3450195.4449408785</v>
      </c>
      <c r="M63" s="54">
        <f t="shared" si="17"/>
        <v>1005.330273662454</v>
      </c>
      <c r="N63" s="54">
        <f t="shared" si="12"/>
        <v>-3450.1954449408786</v>
      </c>
      <c r="O63" s="54">
        <f t="shared" si="13"/>
        <v>-3450.1954449408786</v>
      </c>
      <c r="P63" s="54">
        <f t="shared" si="14"/>
        <v>755.05062001675958</v>
      </c>
      <c r="Q63" s="54">
        <f t="shared" si="15"/>
        <v>3593.6802260959466</v>
      </c>
      <c r="R63" s="54">
        <f t="shared" si="16"/>
        <v>0.27974950758337536</v>
      </c>
      <c r="T63" s="49"/>
    </row>
    <row r="64" spans="6:20">
      <c r="F64" s="16"/>
      <c r="G64" s="49"/>
      <c r="H64" s="53">
        <f t="shared" si="25"/>
        <v>804026.15684961155</v>
      </c>
      <c r="I64" s="53">
        <f t="shared" si="21"/>
        <v>-3496777.9580910089</v>
      </c>
      <c r="J64" s="53">
        <f t="shared" si="22"/>
        <v>519.56047501564456</v>
      </c>
      <c r="K64" s="53">
        <f t="shared" si="23"/>
        <v>-48842082.679349847</v>
      </c>
      <c r="L64" s="53">
        <f t="shared" si="26"/>
        <v>-3496777.9580910089</v>
      </c>
      <c r="M64" s="54">
        <f t="shared" si="17"/>
        <v>804.02615684961154</v>
      </c>
      <c r="N64" s="54">
        <f t="shared" si="12"/>
        <v>-3496.7779580910092</v>
      </c>
      <c r="O64" s="54">
        <f t="shared" si="13"/>
        <v>-3496.7779580910092</v>
      </c>
      <c r="P64" s="54">
        <f t="shared" si="14"/>
        <v>752.97147927237165</v>
      </c>
      <c r="Q64" s="54">
        <f t="shared" si="15"/>
        <v>3588.0237107758198</v>
      </c>
      <c r="R64" s="54">
        <f t="shared" si="16"/>
        <v>0.22408607681016721</v>
      </c>
      <c r="T64" s="49"/>
    </row>
    <row r="65" spans="6:20">
      <c r="F65" s="16"/>
      <c r="G65" s="49"/>
      <c r="H65" s="53">
        <f t="shared" si="25"/>
        <v>602722.04003676912</v>
      </c>
      <c r="I65" s="53">
        <f t="shared" si="21"/>
        <v>-3532617.3919476811</v>
      </c>
      <c r="J65" s="53">
        <f t="shared" si="22"/>
        <v>518.43907061125265</v>
      </c>
      <c r="K65" s="53">
        <f t="shared" si="23"/>
        <v>-48847642.029241756</v>
      </c>
      <c r="L65" s="53">
        <f t="shared" si="26"/>
        <v>-3532617.3919476811</v>
      </c>
      <c r="M65" s="54">
        <f t="shared" si="17"/>
        <v>602.72204003676916</v>
      </c>
      <c r="N65" s="54">
        <f t="shared" si="12"/>
        <v>-3532.617391947681</v>
      </c>
      <c r="O65" s="54">
        <f t="shared" si="13"/>
        <v>-3532.617391947681</v>
      </c>
      <c r="P65" s="54">
        <f t="shared" si="14"/>
        <v>751.36787097409126</v>
      </c>
      <c r="Q65" s="54">
        <f t="shared" si="15"/>
        <v>3583.6656506205095</v>
      </c>
      <c r="R65" s="54">
        <f t="shared" si="16"/>
        <v>0.1681859020336923</v>
      </c>
      <c r="T65" s="49"/>
    </row>
    <row r="66" spans="6:20">
      <c r="F66" s="16"/>
      <c r="G66" s="49"/>
      <c r="H66" s="53">
        <f t="shared" si="25"/>
        <v>401417.92322392669</v>
      </c>
      <c r="I66" s="53">
        <f t="shared" si="21"/>
        <v>-3558002.9572878708</v>
      </c>
      <c r="J66" s="53">
        <f t="shared" si="22"/>
        <v>517.64329460926626</v>
      </c>
      <c r="K66" s="53">
        <f t="shared" si="23"/>
        <v>-48851609.563408136</v>
      </c>
      <c r="L66" s="53">
        <f t="shared" si="26"/>
        <v>-3558002.9572878708</v>
      </c>
      <c r="M66" s="54">
        <f t="shared" si="17"/>
        <v>401.41792322392666</v>
      </c>
      <c r="N66" s="54">
        <f t="shared" si="12"/>
        <v>-3558.0029572878707</v>
      </c>
      <c r="O66" s="54">
        <f t="shared" si="13"/>
        <v>-3558.0029572878707</v>
      </c>
      <c r="P66" s="54">
        <f t="shared" si="14"/>
        <v>750.22991129125069</v>
      </c>
      <c r="Q66" s="54">
        <f t="shared" si="15"/>
        <v>3580.5755673012468</v>
      </c>
      <c r="R66" s="54">
        <f t="shared" si="16"/>
        <v>0.11210988727337029</v>
      </c>
      <c r="T66" s="49"/>
    </row>
    <row r="67" spans="6:20">
      <c r="F67" s="16"/>
      <c r="G67" s="49"/>
      <c r="H67" s="53">
        <f t="shared" si="25"/>
        <v>200113.80641108422</v>
      </c>
      <c r="I67" s="53">
        <f t="shared" si="21"/>
        <v>-3573133.2367895972</v>
      </c>
      <c r="J67" s="53">
        <f t="shared" si="22"/>
        <v>517.16841459005923</v>
      </c>
      <c r="K67" s="53">
        <f t="shared" si="23"/>
        <v>-48853986.025491424</v>
      </c>
      <c r="L67" s="53">
        <f t="shared" si="26"/>
        <v>-3573133.2367895972</v>
      </c>
      <c r="M67" s="54">
        <f t="shared" si="17"/>
        <v>200.11380641108423</v>
      </c>
      <c r="N67" s="54">
        <f t="shared" si="12"/>
        <v>-3573.133236789597</v>
      </c>
      <c r="O67" s="54">
        <f t="shared" si="13"/>
        <v>-3573.133236789597</v>
      </c>
      <c r="P67" s="54">
        <f t="shared" si="14"/>
        <v>749.55083286378465</v>
      </c>
      <c r="Q67" s="54">
        <f t="shared" si="15"/>
        <v>3578.7325498515302</v>
      </c>
      <c r="R67" s="54">
        <f t="shared" si="16"/>
        <v>5.5917508118729434E-2</v>
      </c>
      <c r="T67" s="49"/>
    </row>
    <row r="68" spans="6:20">
      <c r="F68" s="16"/>
      <c r="G68" s="49"/>
      <c r="H68" s="53">
        <f t="shared" si="25"/>
        <v>-1190.3104017582373</v>
      </c>
      <c r="I68" s="53">
        <f t="shared" si="21"/>
        <v>-3578124.1955823051</v>
      </c>
      <c r="J68" s="53">
        <f t="shared" si="22"/>
        <v>517.01167233408705</v>
      </c>
      <c r="K68" s="53">
        <f t="shared" si="23"/>
        <v>-48854771.86069458</v>
      </c>
      <c r="L68" s="53">
        <f t="shared" si="26"/>
        <v>-3578124.1955823051</v>
      </c>
      <c r="M68" s="54">
        <f t="shared" si="17"/>
        <v>-1.1903104017582373</v>
      </c>
      <c r="N68" s="54">
        <f t="shared" si="12"/>
        <v>-3578.1241955823052</v>
      </c>
      <c r="O68" s="54">
        <f t="shared" si="13"/>
        <v>-3578.1241955823052</v>
      </c>
      <c r="P68" s="54">
        <f t="shared" si="14"/>
        <v>749.32669143774444</v>
      </c>
      <c r="Q68" s="54">
        <f t="shared" si="15"/>
        <v>3578.1243935685593</v>
      </c>
      <c r="R68" s="54">
        <f t="shared" si="16"/>
        <v>-3.3266322543110604E-4</v>
      </c>
      <c r="T68" s="49"/>
    </row>
  </sheetData>
  <sheetProtection algorithmName="SHA-512" hashValue="YjuIKqmNR2EpyQWTgK/WNFUYPnjXp51kWOPjDZKF0plDczkatWysMg6rXMQvPSnO72zaerjmTgdHBOKBwIK0wQ==" saltValue="QY0SWb63LBiEOxEUw6CBzg==" spinCount="100000" sheet="1" objects="1" scenarios="1"/>
  <dataConsolidate/>
  <hyperlinks>
    <hyperlink ref="A13" r:id="rId1" display="Vdc@Tmin" xr:uid="{00000000-0004-0000-0000-000000000000}"/>
    <hyperlink ref="A22" r:id="rId2" display="P@PF=1 (W) (kW)" xr:uid="{00000000-0004-0000-0000-000001000000}"/>
    <hyperlink ref="C22" r:id="rId3" display="P@PF=1 (kW)" xr:uid="{00000000-0004-0000-0000-000002000000}"/>
    <hyperlink ref="C23" r:id="rId4" display="P@PF=1 (kW)" xr:uid="{00000000-0004-0000-0000-000003000000}"/>
  </hyperlinks>
  <pageMargins left="0.7" right="0.7" top="0.75" bottom="0.75" header="0.3" footer="0.3"/>
  <pageSetup paperSize="9" orientation="portrait" r:id="rId5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8" name="Drop Down 4">
              <controlPr defaultSize="0" autoLine="0" autoPict="0">
                <anchor moveWithCells="1">
                  <from>
                    <xdr:col>2</xdr:col>
                    <xdr:colOff>1133475</xdr:colOff>
                    <xdr:row>26</xdr:row>
                    <xdr:rowOff>180975</xdr:rowOff>
                  </from>
                  <to>
                    <xdr:col>4</xdr:col>
                    <xdr:colOff>247650</xdr:colOff>
                    <xdr:row>28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aux!$M$2:$M$21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5"/>
  <sheetViews>
    <sheetView workbookViewId="0">
      <selection activeCell="V34" sqref="V34"/>
    </sheetView>
  </sheetViews>
  <sheetFormatPr baseColWidth="10" defaultRowHeight="15"/>
  <cols>
    <col min="1" max="1" width="15" customWidth="1"/>
    <col min="2" max="2" width="15.85546875" customWidth="1"/>
  </cols>
  <sheetData>
    <row r="1" spans="1:14" ht="15.75" thickBot="1">
      <c r="A1" s="44" t="s">
        <v>89</v>
      </c>
    </row>
    <row r="2" spans="1:14" ht="15.75" thickBot="1">
      <c r="A2" s="45" t="s">
        <v>99</v>
      </c>
      <c r="B2" s="47" t="str">
        <f>CONCATENATE("PV3WD3HV",Capability!B1)</f>
        <v>PV3WD3HV620</v>
      </c>
      <c r="C2" s="45" t="s">
        <v>97</v>
      </c>
      <c r="D2" s="46">
        <v>954</v>
      </c>
    </row>
    <row r="3" spans="1:14" ht="15.75" thickBot="1">
      <c r="B3" s="44"/>
      <c r="C3" s="48" t="s">
        <v>98</v>
      </c>
      <c r="D3" s="52">
        <v>1130</v>
      </c>
    </row>
    <row r="4" spans="1:14" ht="15.75" thickBot="1">
      <c r="A4" s="44"/>
    </row>
    <row r="5" spans="1:14" ht="15.75" thickBot="1">
      <c r="A5" s="176" t="s">
        <v>90</v>
      </c>
      <c r="B5" s="177"/>
      <c r="C5" s="176" t="s">
        <v>91</v>
      </c>
      <c r="D5" s="177"/>
      <c r="E5" s="176" t="s">
        <v>92</v>
      </c>
      <c r="F5" s="177"/>
      <c r="G5" s="176" t="s">
        <v>93</v>
      </c>
      <c r="H5" s="177"/>
      <c r="I5" s="176" t="s">
        <v>94</v>
      </c>
      <c r="J5" s="177"/>
      <c r="K5" s="176" t="s">
        <v>95</v>
      </c>
      <c r="L5" s="177"/>
      <c r="M5" s="178" t="s">
        <v>96</v>
      </c>
      <c r="N5" s="177"/>
    </row>
    <row r="6" spans="1:14">
      <c r="A6" s="130" t="s">
        <v>87</v>
      </c>
      <c r="B6" s="130" t="s">
        <v>88</v>
      </c>
      <c r="C6" s="130" t="s">
        <v>87</v>
      </c>
      <c r="D6" s="130" t="s">
        <v>88</v>
      </c>
      <c r="E6" s="130" t="s">
        <v>87</v>
      </c>
      <c r="F6" s="130" t="s">
        <v>88</v>
      </c>
      <c r="G6" s="130" t="s">
        <v>87</v>
      </c>
      <c r="H6" s="130" t="s">
        <v>88</v>
      </c>
      <c r="I6" s="130" t="s">
        <v>87</v>
      </c>
      <c r="J6" s="130" t="s">
        <v>88</v>
      </c>
      <c r="K6" s="130" t="s">
        <v>87</v>
      </c>
      <c r="L6" s="130" t="s">
        <v>88</v>
      </c>
      <c r="M6" s="130" t="s">
        <v>87</v>
      </c>
      <c r="N6" s="130" t="s">
        <v>88</v>
      </c>
    </row>
    <row r="7" spans="1:14" ht="15.75" thickBot="1">
      <c r="A7" s="131">
        <v>620</v>
      </c>
      <c r="B7" s="131">
        <v>33</v>
      </c>
      <c r="C7" s="131">
        <v>620</v>
      </c>
      <c r="D7" s="131">
        <v>-5</v>
      </c>
      <c r="E7" s="131"/>
      <c r="F7" s="131"/>
      <c r="G7" s="131"/>
      <c r="H7" s="131"/>
      <c r="I7" s="131"/>
      <c r="J7" s="131"/>
      <c r="K7" s="131"/>
      <c r="L7" s="131"/>
      <c r="M7" s="131"/>
      <c r="N7" s="131"/>
    </row>
    <row r="8" spans="1:14" ht="15.75" thickBot="1">
      <c r="A8" s="128" t="s">
        <v>31</v>
      </c>
      <c r="B8" s="129">
        <v>951.5</v>
      </c>
      <c r="C8" s="128" t="s">
        <v>31</v>
      </c>
      <c r="D8" s="129">
        <v>1130</v>
      </c>
      <c r="E8" s="128" t="s">
        <v>31</v>
      </c>
      <c r="F8" s="129"/>
      <c r="G8" s="128" t="s">
        <v>31</v>
      </c>
      <c r="H8" s="129"/>
      <c r="I8" s="128" t="s">
        <v>31</v>
      </c>
      <c r="J8" s="129"/>
      <c r="K8" s="128" t="s">
        <v>31</v>
      </c>
      <c r="L8" s="129"/>
      <c r="M8" s="128" t="s">
        <v>31</v>
      </c>
      <c r="N8" s="129"/>
    </row>
    <row r="9" spans="1:14" ht="15.75" thickBot="1">
      <c r="A9" s="45" t="s">
        <v>54</v>
      </c>
      <c r="B9" s="46" t="s">
        <v>55</v>
      </c>
      <c r="C9" s="45" t="s">
        <v>54</v>
      </c>
      <c r="D9" s="46" t="s">
        <v>55</v>
      </c>
      <c r="E9" s="45" t="s">
        <v>54</v>
      </c>
      <c r="F9" s="46" t="s">
        <v>55</v>
      </c>
      <c r="G9" s="45" t="s">
        <v>54</v>
      </c>
      <c r="H9" s="46" t="s">
        <v>55</v>
      </c>
      <c r="I9" s="45" t="s">
        <v>54</v>
      </c>
      <c r="J9" s="46" t="s">
        <v>55</v>
      </c>
      <c r="K9" s="45" t="s">
        <v>54</v>
      </c>
      <c r="L9" s="46" t="s">
        <v>55</v>
      </c>
      <c r="M9" s="45" t="s">
        <v>54</v>
      </c>
      <c r="N9" s="46" t="s">
        <v>55</v>
      </c>
    </row>
    <row r="10" spans="1:14">
      <c r="A10" s="55">
        <v>0</v>
      </c>
      <c r="B10" s="56">
        <v>2103.4138700017165</v>
      </c>
      <c r="C10" s="57">
        <v>0</v>
      </c>
      <c r="D10" s="58">
        <v>4450.1987964843011</v>
      </c>
      <c r="E10" s="59"/>
      <c r="F10" s="58"/>
      <c r="G10" s="60"/>
      <c r="H10" s="60"/>
      <c r="I10" s="59"/>
      <c r="J10" s="58"/>
      <c r="K10" s="59"/>
      <c r="L10" s="58"/>
      <c r="M10" s="59"/>
      <c r="N10" s="58"/>
    </row>
    <row r="11" spans="1:14">
      <c r="A11" s="59">
        <v>200.11380641108403</v>
      </c>
      <c r="B11" s="58">
        <v>2102.6280069946088</v>
      </c>
      <c r="C11" s="57">
        <v>200.11380641108403</v>
      </c>
      <c r="D11" s="58">
        <v>4445.2076612115416</v>
      </c>
      <c r="E11" s="59"/>
      <c r="F11" s="58"/>
      <c r="G11" s="60"/>
      <c r="H11" s="60"/>
      <c r="I11" s="59"/>
      <c r="J11" s="58"/>
      <c r="K11" s="59"/>
      <c r="L11" s="58"/>
      <c r="M11" s="59"/>
      <c r="N11" s="58"/>
    </row>
    <row r="12" spans="1:14">
      <c r="A12" s="59">
        <v>401.41792322392644</v>
      </c>
      <c r="B12" s="58">
        <v>2100.2515449113175</v>
      </c>
      <c r="C12" s="57">
        <v>401.41792322392644</v>
      </c>
      <c r="D12" s="58">
        <v>4430.0773817098161</v>
      </c>
      <c r="E12" s="59"/>
      <c r="F12" s="58"/>
      <c r="G12" s="60"/>
      <c r="H12" s="60"/>
      <c r="I12" s="59"/>
      <c r="J12" s="58"/>
      <c r="K12" s="59"/>
      <c r="L12" s="58"/>
      <c r="M12" s="59"/>
      <c r="N12" s="58"/>
    </row>
    <row r="13" spans="1:14">
      <c r="A13" s="59">
        <v>602.72204003676893</v>
      </c>
      <c r="B13" s="58">
        <v>2096.2840107449369</v>
      </c>
      <c r="C13" s="57">
        <v>602.72204003676893</v>
      </c>
      <c r="D13" s="58">
        <v>4404.6918163696255</v>
      </c>
      <c r="E13" s="59"/>
      <c r="F13" s="58"/>
      <c r="G13" s="60"/>
      <c r="H13" s="60"/>
      <c r="I13" s="59"/>
      <c r="J13" s="58"/>
      <c r="K13" s="59"/>
      <c r="L13" s="58"/>
      <c r="M13" s="59"/>
      <c r="N13" s="58"/>
    </row>
    <row r="14" spans="1:14">
      <c r="A14" s="59">
        <v>804.02615684961131</v>
      </c>
      <c r="B14" s="58">
        <v>2090.724660853034</v>
      </c>
      <c r="C14" s="57">
        <v>804.02615684961131</v>
      </c>
      <c r="D14" s="58">
        <v>4368.8523825129541</v>
      </c>
      <c r="E14" s="59"/>
      <c r="F14" s="58"/>
      <c r="G14" s="60"/>
      <c r="H14" s="60"/>
      <c r="I14" s="59"/>
      <c r="J14" s="58"/>
      <c r="K14" s="59"/>
      <c r="L14" s="58"/>
      <c r="M14" s="59"/>
      <c r="N14" s="58"/>
    </row>
    <row r="15" spans="1:14">
      <c r="A15" s="59">
        <v>1005.3302736624538</v>
      </c>
      <c r="B15" s="58">
        <v>2083.5724524562788</v>
      </c>
      <c r="C15" s="57">
        <v>1005.3302736624538</v>
      </c>
      <c r="D15" s="58">
        <v>4322.2698693628236</v>
      </c>
      <c r="E15" s="59"/>
      <c r="F15" s="58"/>
      <c r="G15" s="60"/>
      <c r="H15" s="60"/>
      <c r="I15" s="59"/>
      <c r="J15" s="58"/>
      <c r="K15" s="59"/>
      <c r="L15" s="58"/>
      <c r="M15" s="59"/>
      <c r="N15" s="58"/>
    </row>
    <row r="16" spans="1:14">
      <c r="A16" s="59">
        <v>1206.6343904752962</v>
      </c>
      <c r="B16" s="58">
        <v>2074.8260426592419</v>
      </c>
      <c r="C16" s="57">
        <v>1206.6343904752962</v>
      </c>
      <c r="D16" s="58">
        <v>4264.552155681622</v>
      </c>
      <c r="E16" s="59"/>
      <c r="F16" s="58"/>
      <c r="G16" s="60"/>
      <c r="H16" s="60"/>
      <c r="I16" s="59"/>
      <c r="J16" s="58"/>
      <c r="K16" s="59"/>
      <c r="L16" s="58"/>
      <c r="M16" s="59"/>
      <c r="N16" s="58"/>
    </row>
    <row r="17" spans="1:14">
      <c r="A17" s="59">
        <v>1407.9385072881387</v>
      </c>
      <c r="B17" s="58">
        <v>2064.4837871872633</v>
      </c>
      <c r="C17" s="57">
        <v>1407.9385072881387</v>
      </c>
      <c r="D17" s="58">
        <v>4195.1863691813378</v>
      </c>
      <c r="E17" s="59"/>
      <c r="F17" s="58"/>
      <c r="G17" s="60"/>
      <c r="H17" s="60"/>
      <c r="I17" s="59"/>
      <c r="J17" s="58"/>
      <c r="K17" s="59"/>
      <c r="L17" s="58"/>
      <c r="M17" s="59"/>
      <c r="N17" s="58"/>
    </row>
    <row r="18" spans="1:14">
      <c r="A18" s="59">
        <v>1609.2426241009809</v>
      </c>
      <c r="B18" s="58">
        <v>2052.5437388366627</v>
      </c>
      <c r="C18" s="57">
        <v>1609.2426241009809</v>
      </c>
      <c r="D18" s="58">
        <v>4113.5134393853032</v>
      </c>
      <c r="E18" s="59"/>
      <c r="F18" s="58"/>
      <c r="G18" s="60"/>
      <c r="H18" s="60"/>
      <c r="I18" s="59"/>
      <c r="J18" s="58"/>
      <c r="K18" s="59"/>
      <c r="L18" s="58"/>
      <c r="M18" s="59"/>
      <c r="N18" s="58"/>
    </row>
    <row r="19" spans="1:14">
      <c r="A19" s="59">
        <v>1810.5467409138234</v>
      </c>
      <c r="B19" s="58">
        <v>2039.0036456347871</v>
      </c>
      <c r="C19" s="57">
        <v>1810.5467409138234</v>
      </c>
      <c r="D19" s="58">
        <v>4018.6917760256438</v>
      </c>
      <c r="E19" s="59"/>
      <c r="F19" s="58"/>
      <c r="G19" s="60"/>
      <c r="H19" s="60"/>
      <c r="I19" s="59"/>
      <c r="J19" s="58"/>
      <c r="K19" s="59"/>
      <c r="L19" s="58"/>
      <c r="M19" s="59"/>
      <c r="N19" s="58"/>
    </row>
    <row r="20" spans="1:14">
      <c r="A20" s="59">
        <v>2011.8508577266659</v>
      </c>
      <c r="B20" s="58">
        <v>2023.8609487059284</v>
      </c>
      <c r="C20" s="57">
        <v>2011.8508577266659</v>
      </c>
      <c r="D20" s="58">
        <v>3909.6447535029129</v>
      </c>
      <c r="E20" s="59"/>
      <c r="F20" s="58"/>
      <c r="G20" s="60"/>
      <c r="H20" s="60"/>
      <c r="I20" s="59"/>
      <c r="J20" s="58"/>
      <c r="K20" s="59"/>
      <c r="L20" s="58"/>
      <c r="M20" s="59"/>
      <c r="N20" s="58"/>
    </row>
    <row r="21" spans="1:14">
      <c r="A21" s="59">
        <v>2213.1549745395087</v>
      </c>
      <c r="B21" s="58">
        <v>2007.1127798382583</v>
      </c>
      <c r="C21" s="57">
        <v>2213.1549745395087</v>
      </c>
      <c r="D21" s="58">
        <v>3784.9830587911747</v>
      </c>
      <c r="E21" s="59"/>
      <c r="F21" s="58"/>
      <c r="G21" s="60"/>
      <c r="H21" s="60"/>
      <c r="I21" s="59"/>
      <c r="J21" s="58"/>
      <c r="K21" s="59"/>
      <c r="L21" s="58"/>
      <c r="M21" s="59"/>
      <c r="N21" s="58"/>
    </row>
    <row r="22" spans="1:14">
      <c r="A22" s="59">
        <v>2414.4590913523512</v>
      </c>
      <c r="B22" s="58">
        <v>1988.7559587464557</v>
      </c>
      <c r="C22" s="57">
        <v>2414.4590913523512</v>
      </c>
      <c r="D22" s="58">
        <v>3642.8862140883198</v>
      </c>
      <c r="E22" s="59"/>
      <c r="F22" s="58"/>
      <c r="G22" s="60"/>
      <c r="H22" s="60"/>
      <c r="I22" s="59"/>
      <c r="J22" s="58"/>
      <c r="K22" s="59"/>
      <c r="L22" s="58"/>
      <c r="M22" s="59"/>
      <c r="N22" s="58"/>
    </row>
    <row r="23" spans="1:14">
      <c r="A23" s="59">
        <v>2615.7632081651936</v>
      </c>
      <c r="B23" s="58">
        <v>1968.786990023777</v>
      </c>
      <c r="C23" s="57">
        <v>2615.7632081651936</v>
      </c>
      <c r="D23" s="58">
        <v>3480.9142316429716</v>
      </c>
      <c r="E23" s="59"/>
      <c r="F23" s="58"/>
      <c r="G23" s="60"/>
      <c r="H23" s="60"/>
      <c r="I23" s="59"/>
      <c r="J23" s="58"/>
      <c r="K23" s="59"/>
      <c r="L23" s="58"/>
      <c r="M23" s="59"/>
      <c r="N23" s="58"/>
    </row>
    <row r="24" spans="1:14">
      <c r="A24" s="59">
        <v>2817.0673249780357</v>
      </c>
      <c r="B24" s="58">
        <v>1947.2020597768071</v>
      </c>
      <c r="C24" s="57">
        <v>2817.0673249780357</v>
      </c>
      <c r="D24" s="58">
        <v>3295.691896118954</v>
      </c>
      <c r="E24" s="59"/>
      <c r="F24" s="58"/>
      <c r="G24" s="60"/>
      <c r="H24" s="60"/>
      <c r="I24" s="59"/>
      <c r="J24" s="58"/>
      <c r="K24" s="59"/>
      <c r="L24" s="58"/>
      <c r="M24" s="59"/>
      <c r="N24" s="58"/>
    </row>
    <row r="25" spans="1:14">
      <c r="A25" s="59">
        <v>3018.3714417908782</v>
      </c>
      <c r="B25" s="58">
        <v>1923.99703193512</v>
      </c>
      <c r="C25" s="57">
        <v>3018.3714417908782</v>
      </c>
      <c r="D25" s="58">
        <v>3082.3416285691924</v>
      </c>
      <c r="E25" s="59"/>
      <c r="F25" s="58"/>
      <c r="G25" s="60"/>
      <c r="H25" s="60"/>
      <c r="I25" s="59"/>
      <c r="J25" s="58"/>
      <c r="K25" s="59"/>
      <c r="L25" s="58"/>
      <c r="M25" s="59"/>
      <c r="N25" s="58"/>
    </row>
    <row r="26" spans="1:14">
      <c r="A26" s="59">
        <v>3219.6755586037207</v>
      </c>
      <c r="B26" s="58">
        <v>1899.1674442275112</v>
      </c>
      <c r="C26" s="57">
        <v>3219.6755586037207</v>
      </c>
      <c r="D26" s="58">
        <v>2833.3654171060771</v>
      </c>
      <c r="E26" s="59"/>
      <c r="F26" s="58"/>
      <c r="G26" s="60"/>
      <c r="H26" s="60"/>
      <c r="I26" s="59"/>
      <c r="J26" s="58"/>
      <c r="K26" s="59"/>
      <c r="L26" s="58"/>
      <c r="M26" s="59"/>
      <c r="N26" s="58"/>
    </row>
    <row r="27" spans="1:14">
      <c r="A27" s="59">
        <v>3270.0015878069312</v>
      </c>
      <c r="B27" s="58">
        <v>1892.7056554901451</v>
      </c>
      <c r="C27" s="57">
        <v>3270.0015878069312</v>
      </c>
      <c r="D27" s="58">
        <v>2764.2517299038577</v>
      </c>
      <c r="E27" s="59"/>
      <c r="F27" s="58"/>
      <c r="G27" s="60"/>
      <c r="H27" s="60"/>
      <c r="I27" s="59"/>
      <c r="J27" s="58"/>
      <c r="K27" s="59"/>
      <c r="L27" s="58"/>
      <c r="M27" s="59"/>
      <c r="N27" s="58"/>
    </row>
    <row r="28" spans="1:14">
      <c r="A28" s="59">
        <v>3320.3276170101417</v>
      </c>
      <c r="B28" s="58">
        <v>1886.1419557013344</v>
      </c>
      <c r="C28" s="57">
        <v>3320.3276170101417</v>
      </c>
      <c r="D28" s="58">
        <v>2691.9001824233737</v>
      </c>
      <c r="E28" s="59"/>
      <c r="F28" s="58"/>
      <c r="G28" s="60"/>
      <c r="H28" s="60"/>
      <c r="I28" s="59"/>
      <c r="J28" s="58"/>
      <c r="K28" s="59"/>
      <c r="L28" s="58"/>
      <c r="M28" s="59"/>
      <c r="N28" s="58"/>
    </row>
    <row r="29" spans="1:14">
      <c r="A29" s="59">
        <v>3370.6536462133522</v>
      </c>
      <c r="B29" s="58">
        <v>1879.4762654024139</v>
      </c>
      <c r="C29" s="57">
        <v>3370.6536462133522</v>
      </c>
      <c r="D29" s="58">
        <v>2615.988409353788</v>
      </c>
      <c r="E29" s="59"/>
      <c r="F29" s="58"/>
      <c r="G29" s="60"/>
      <c r="H29" s="60"/>
      <c r="I29" s="59"/>
      <c r="J29" s="58"/>
      <c r="K29" s="59"/>
      <c r="L29" s="58"/>
      <c r="M29" s="59"/>
      <c r="N29" s="58"/>
    </row>
    <row r="30" spans="1:14">
      <c r="A30" s="59">
        <v>3420.9796754165627</v>
      </c>
      <c r="B30" s="58">
        <v>1872.7085038154964</v>
      </c>
      <c r="C30" s="57">
        <v>3420.9796754165627</v>
      </c>
      <c r="D30" s="58">
        <v>2536.1303732499191</v>
      </c>
      <c r="E30" s="59"/>
      <c r="F30" s="58"/>
      <c r="G30" s="60"/>
      <c r="H30" s="60"/>
      <c r="I30" s="59"/>
      <c r="J30" s="58"/>
      <c r="K30" s="59"/>
      <c r="L30" s="58"/>
      <c r="M30" s="59"/>
      <c r="N30" s="58"/>
    </row>
    <row r="31" spans="1:14">
      <c r="A31" s="59">
        <v>3471.3057046197732</v>
      </c>
      <c r="B31" s="58">
        <v>1865.8385888384544</v>
      </c>
      <c r="C31" s="57">
        <v>3471.3057046197732</v>
      </c>
      <c r="D31" s="58">
        <v>2451.8571272157783</v>
      </c>
      <c r="E31" s="59"/>
      <c r="F31" s="58"/>
      <c r="G31" s="60"/>
      <c r="H31" s="60"/>
      <c r="I31" s="59"/>
      <c r="J31" s="58"/>
      <c r="K31" s="59"/>
      <c r="L31" s="58"/>
      <c r="M31" s="59"/>
      <c r="N31" s="58"/>
    </row>
    <row r="32" spans="1:14">
      <c r="A32" s="59">
        <v>3521.6317338229837</v>
      </c>
      <c r="B32" s="58">
        <v>1858.8664370398074</v>
      </c>
      <c r="C32" s="57">
        <v>3521.6317338229837</v>
      </c>
      <c r="D32" s="58">
        <v>2362.5893542478002</v>
      </c>
      <c r="E32" s="59"/>
      <c r="F32" s="58"/>
      <c r="G32" s="60"/>
      <c r="H32" s="60"/>
      <c r="I32" s="59"/>
      <c r="J32" s="58"/>
      <c r="K32" s="59"/>
      <c r="L32" s="58"/>
      <c r="M32" s="59"/>
      <c r="N32" s="58"/>
    </row>
    <row r="33" spans="1:14">
      <c r="A33" s="61">
        <v>3571.9577630261942</v>
      </c>
      <c r="B33" s="62">
        <v>1851.7919636535589</v>
      </c>
      <c r="C33" s="63">
        <v>3571.9577630261942</v>
      </c>
      <c r="D33" s="62">
        <v>2267.5969201682833</v>
      </c>
      <c r="E33" s="59"/>
      <c r="F33" s="58"/>
      <c r="G33" s="60"/>
      <c r="H33" s="60"/>
      <c r="I33" s="59"/>
      <c r="J33" s="58"/>
      <c r="K33" s="59"/>
      <c r="L33" s="58"/>
      <c r="M33" s="59"/>
      <c r="N33" s="58"/>
    </row>
    <row r="34" spans="1:14">
      <c r="A34" s="61">
        <v>3622.2837922294048</v>
      </c>
      <c r="B34" s="62">
        <v>1844.6150825738869</v>
      </c>
      <c r="C34" s="63">
        <v>3622.2837922294048</v>
      </c>
      <c r="D34" s="62">
        <v>2165.9370223756905</v>
      </c>
      <c r="E34" s="59"/>
      <c r="F34" s="58"/>
      <c r="G34" s="60"/>
      <c r="H34" s="60"/>
      <c r="I34" s="59"/>
      <c r="J34" s="58"/>
      <c r="K34" s="59"/>
      <c r="L34" s="58"/>
      <c r="M34" s="59"/>
      <c r="N34" s="58"/>
    </row>
    <row r="35" spans="1:14">
      <c r="A35" s="61">
        <v>3672.6098214326153</v>
      </c>
      <c r="B35" s="62">
        <v>1837.335706349792</v>
      </c>
      <c r="C35" s="63">
        <v>3672.6098214326153</v>
      </c>
      <c r="D35" s="62">
        <v>2056.3551822935292</v>
      </c>
      <c r="E35" s="59"/>
      <c r="F35" s="58"/>
      <c r="G35" s="60"/>
      <c r="H35" s="60"/>
      <c r="I35" s="59"/>
      <c r="J35" s="58"/>
      <c r="K35" s="59"/>
      <c r="L35" s="58"/>
      <c r="M35" s="59"/>
      <c r="N35" s="58"/>
    </row>
    <row r="36" spans="1:14">
      <c r="A36" s="61">
        <v>3722.9358506358258</v>
      </c>
      <c r="B36" s="62">
        <v>1829.9537461795974</v>
      </c>
      <c r="C36" s="63">
        <v>3722.9358506358258</v>
      </c>
      <c r="D36" s="62">
        <v>1937.1174488093579</v>
      </c>
      <c r="E36" s="59"/>
      <c r="F36" s="58"/>
      <c r="G36" s="60"/>
      <c r="H36" s="60"/>
      <c r="I36" s="59"/>
      <c r="J36" s="58"/>
      <c r="K36" s="59"/>
      <c r="L36" s="58"/>
      <c r="M36" s="59"/>
      <c r="N36" s="58"/>
    </row>
    <row r="37" spans="1:14">
      <c r="A37" s="61">
        <v>3773.2618798390363</v>
      </c>
      <c r="B37" s="62">
        <v>1805.7043289986048</v>
      </c>
      <c r="C37" s="63">
        <v>3773.2618798390363</v>
      </c>
      <c r="D37" s="62">
        <v>1805.7043289986048</v>
      </c>
      <c r="E37" s="59"/>
      <c r="F37" s="58"/>
      <c r="G37" s="60"/>
      <c r="H37" s="60"/>
      <c r="I37" s="59"/>
      <c r="J37" s="58"/>
      <c r="K37" s="59"/>
      <c r="L37" s="58"/>
      <c r="M37" s="59"/>
      <c r="N37" s="58"/>
    </row>
    <row r="38" spans="1:14">
      <c r="A38" s="61">
        <v>3823.5879090422468</v>
      </c>
      <c r="B38" s="62">
        <v>1658.1946188005261</v>
      </c>
      <c r="C38" s="63">
        <v>3823.5879090422468</v>
      </c>
      <c r="D38" s="62">
        <v>1658.1946188005261</v>
      </c>
      <c r="E38" s="59"/>
      <c r="F38" s="58"/>
      <c r="G38" s="60"/>
      <c r="H38" s="60"/>
      <c r="I38" s="59"/>
      <c r="J38" s="58"/>
      <c r="K38" s="59"/>
      <c r="L38" s="58"/>
      <c r="M38" s="59"/>
      <c r="N38" s="58"/>
    </row>
    <row r="39" spans="1:14">
      <c r="A39" s="61">
        <v>3873.9139382454573</v>
      </c>
      <c r="B39" s="62">
        <v>1487.8375847738157</v>
      </c>
      <c r="C39" s="63">
        <v>3873.9139382454573</v>
      </c>
      <c r="D39" s="62">
        <v>1487.8375847738157</v>
      </c>
      <c r="E39" s="59"/>
      <c r="F39" s="58"/>
      <c r="G39" s="60"/>
      <c r="H39" s="60"/>
      <c r="I39" s="59"/>
      <c r="J39" s="58"/>
      <c r="K39" s="59"/>
      <c r="L39" s="58"/>
      <c r="M39" s="59"/>
      <c r="N39" s="58"/>
    </row>
    <row r="40" spans="1:14">
      <c r="A40" s="59">
        <v>3924.2399674486678</v>
      </c>
      <c r="B40" s="58">
        <v>1280.9241292207246</v>
      </c>
      <c r="C40" s="57">
        <v>3924.2399674486678</v>
      </c>
      <c r="D40" s="58">
        <v>1280.9241292207246</v>
      </c>
      <c r="E40" s="59"/>
      <c r="F40" s="58"/>
      <c r="G40" s="60"/>
      <c r="H40" s="60"/>
      <c r="I40" s="59"/>
      <c r="J40" s="58"/>
      <c r="K40" s="59"/>
      <c r="L40" s="58"/>
      <c r="M40" s="59"/>
      <c r="N40" s="58"/>
    </row>
    <row r="41" spans="1:14">
      <c r="A41" s="59">
        <v>3974.5659966518783</v>
      </c>
      <c r="B41" s="58">
        <v>998.45908493146521</v>
      </c>
      <c r="C41" s="57">
        <v>3974.5659966518783</v>
      </c>
      <c r="D41" s="58">
        <v>998.45908493146521</v>
      </c>
      <c r="E41" s="59"/>
      <c r="F41" s="58"/>
      <c r="G41" s="60"/>
      <c r="H41" s="60"/>
      <c r="I41" s="59"/>
      <c r="J41" s="58"/>
      <c r="K41" s="59"/>
      <c r="L41" s="58"/>
      <c r="M41" s="59"/>
      <c r="N41" s="58"/>
    </row>
    <row r="42" spans="1:14">
      <c r="A42" s="59">
        <v>4002.2761282216802</v>
      </c>
      <c r="B42" s="58">
        <v>436.03721221097271</v>
      </c>
      <c r="C42" s="57">
        <v>4002.2761282216802</v>
      </c>
      <c r="D42" s="58">
        <v>436.03721221097271</v>
      </c>
      <c r="E42" s="59"/>
      <c r="F42" s="58"/>
      <c r="G42" s="60"/>
      <c r="H42" s="60"/>
      <c r="I42" s="59"/>
      <c r="J42" s="58"/>
      <c r="K42" s="59"/>
      <c r="L42" s="58"/>
      <c r="M42" s="59"/>
      <c r="N42" s="58"/>
    </row>
    <row r="43" spans="1:14">
      <c r="A43" s="59">
        <v>3974.5659966518783</v>
      </c>
      <c r="B43" s="58">
        <v>-126.38466050951966</v>
      </c>
      <c r="C43" s="57">
        <v>3974.5659966518783</v>
      </c>
      <c r="D43" s="58">
        <v>-126.38466050951966</v>
      </c>
      <c r="E43" s="59"/>
      <c r="F43" s="58"/>
      <c r="G43" s="60"/>
      <c r="H43" s="60"/>
      <c r="I43" s="59"/>
      <c r="J43" s="58"/>
      <c r="K43" s="59"/>
      <c r="L43" s="58"/>
      <c r="M43" s="59"/>
      <c r="N43" s="58"/>
    </row>
    <row r="44" spans="1:14">
      <c r="A44" s="59">
        <v>3924.2399674486678</v>
      </c>
      <c r="B44" s="58">
        <v>-408.8497047987791</v>
      </c>
      <c r="C44" s="57">
        <v>3924.2399674486678</v>
      </c>
      <c r="D44" s="58">
        <v>-408.8497047987791</v>
      </c>
      <c r="E44" s="59"/>
      <c r="F44" s="58"/>
      <c r="G44" s="60"/>
      <c r="H44" s="60"/>
      <c r="I44" s="59"/>
      <c r="J44" s="58"/>
      <c r="K44" s="59"/>
      <c r="L44" s="58"/>
      <c r="M44" s="59"/>
      <c r="N44" s="58"/>
    </row>
    <row r="45" spans="1:14">
      <c r="A45" s="59">
        <v>3873.9139382454573</v>
      </c>
      <c r="B45" s="58">
        <v>-615.7631603518704</v>
      </c>
      <c r="C45" s="57">
        <v>3873.9139382454573</v>
      </c>
      <c r="D45" s="58">
        <v>-615.7631603518704</v>
      </c>
      <c r="E45" s="59"/>
      <c r="F45" s="58"/>
      <c r="G45" s="60"/>
      <c r="H45" s="60"/>
      <c r="I45" s="59"/>
      <c r="J45" s="58"/>
      <c r="K45" s="59"/>
      <c r="L45" s="58"/>
      <c r="M45" s="59"/>
      <c r="N45" s="58"/>
    </row>
    <row r="46" spans="1:14">
      <c r="A46" s="59">
        <v>3823.5879090422468</v>
      </c>
      <c r="B46" s="58">
        <v>-786.12019437858055</v>
      </c>
      <c r="C46" s="57">
        <v>3823.5879090422468</v>
      </c>
      <c r="D46" s="58">
        <v>-786.12019437858055</v>
      </c>
      <c r="E46" s="59"/>
      <c r="F46" s="58"/>
      <c r="G46" s="60"/>
      <c r="H46" s="60"/>
      <c r="I46" s="59"/>
      <c r="J46" s="58"/>
      <c r="K46" s="59"/>
      <c r="L46" s="58"/>
      <c r="M46" s="59"/>
      <c r="N46" s="58"/>
    </row>
    <row r="47" spans="1:14">
      <c r="A47" s="59">
        <v>3773.2618798390363</v>
      </c>
      <c r="B47" s="58">
        <v>-933.62990457665921</v>
      </c>
      <c r="C47" s="57">
        <v>3773.2618798390363</v>
      </c>
      <c r="D47" s="58">
        <v>-933.62990457665921</v>
      </c>
      <c r="E47" s="59"/>
      <c r="F47" s="58"/>
      <c r="G47" s="60"/>
      <c r="H47" s="60"/>
      <c r="I47" s="59"/>
      <c r="J47" s="58"/>
      <c r="K47" s="59"/>
      <c r="L47" s="58"/>
      <c r="M47" s="59"/>
      <c r="N47" s="58"/>
    </row>
    <row r="48" spans="1:14">
      <c r="A48" s="59">
        <v>3722.9358506358258</v>
      </c>
      <c r="B48" s="58">
        <v>-1065.0430243874125</v>
      </c>
      <c r="C48" s="57">
        <v>3722.9358506358258</v>
      </c>
      <c r="D48" s="58">
        <v>-1065.0430243874125</v>
      </c>
      <c r="E48" s="59"/>
      <c r="F48" s="58"/>
      <c r="G48" s="60"/>
      <c r="H48" s="60"/>
      <c r="I48" s="59"/>
      <c r="J48" s="58"/>
      <c r="K48" s="59"/>
      <c r="L48" s="58"/>
      <c r="M48" s="59"/>
      <c r="N48" s="58"/>
    </row>
    <row r="49" spans="1:14">
      <c r="A49" s="59">
        <v>3672.6098214326153</v>
      </c>
      <c r="B49" s="58">
        <v>-1184.280757871584</v>
      </c>
      <c r="C49" s="57">
        <v>3672.6098214326153</v>
      </c>
      <c r="D49" s="58">
        <v>-1184.280757871584</v>
      </c>
      <c r="E49" s="59"/>
      <c r="F49" s="58"/>
      <c r="G49" s="60"/>
      <c r="H49" s="60"/>
      <c r="I49" s="59"/>
      <c r="J49" s="58"/>
      <c r="K49" s="59"/>
      <c r="L49" s="58"/>
      <c r="M49" s="59"/>
      <c r="N49" s="58"/>
    </row>
    <row r="50" spans="1:14">
      <c r="A50" s="57">
        <v>3622.2837922294048</v>
      </c>
      <c r="B50" s="57">
        <v>-1293.8625979537446</v>
      </c>
      <c r="C50" s="59">
        <v>3622.2837922294048</v>
      </c>
      <c r="D50" s="58">
        <v>-1293.8625979537446</v>
      </c>
      <c r="E50" s="59"/>
      <c r="F50" s="58"/>
      <c r="G50" s="57"/>
      <c r="H50" s="58"/>
      <c r="I50" s="57"/>
      <c r="J50" s="58"/>
      <c r="K50" s="59"/>
      <c r="L50" s="58"/>
      <c r="M50" s="59"/>
      <c r="N50" s="58"/>
    </row>
    <row r="51" spans="1:14">
      <c r="A51" s="59">
        <v>3571.9577630261942</v>
      </c>
      <c r="B51" s="58">
        <v>-1395.5224957463379</v>
      </c>
      <c r="C51" s="59">
        <v>3571.9577630261942</v>
      </c>
      <c r="D51" s="58">
        <v>-1395.5224957463379</v>
      </c>
      <c r="E51" s="57"/>
      <c r="F51" s="58"/>
      <c r="G51" s="57"/>
      <c r="H51" s="58"/>
      <c r="I51" s="57"/>
      <c r="J51" s="58"/>
      <c r="K51" s="57"/>
      <c r="L51" s="58"/>
      <c r="M51" s="57"/>
      <c r="N51" s="58"/>
    </row>
    <row r="52" spans="1:14">
      <c r="A52" s="59">
        <v>3521.6317338229837</v>
      </c>
      <c r="B52" s="58">
        <v>-1490.5149298258546</v>
      </c>
      <c r="C52" s="60">
        <v>3521.6317338229837</v>
      </c>
      <c r="D52" s="58">
        <v>-1490.5149298258546</v>
      </c>
      <c r="E52" s="60"/>
      <c r="F52" s="58"/>
      <c r="G52" s="60"/>
      <c r="H52" s="58"/>
      <c r="I52" s="60"/>
      <c r="J52" s="58"/>
      <c r="K52" s="60"/>
      <c r="L52" s="58"/>
      <c r="M52" s="60"/>
      <c r="N52" s="58"/>
    </row>
    <row r="53" spans="1:14">
      <c r="A53" s="59">
        <v>3471.3057046197732</v>
      </c>
      <c r="B53" s="58">
        <v>-1579.7827027938324</v>
      </c>
      <c r="C53" s="60">
        <v>3471.3057046197732</v>
      </c>
      <c r="D53" s="58">
        <v>-1579.7827027938324</v>
      </c>
      <c r="E53" s="60"/>
      <c r="F53" s="58"/>
      <c r="G53" s="60"/>
      <c r="H53" s="58"/>
      <c r="I53" s="60"/>
      <c r="J53" s="58"/>
      <c r="K53" s="60"/>
      <c r="L53" s="58"/>
      <c r="M53" s="60"/>
      <c r="N53" s="58"/>
    </row>
    <row r="54" spans="1:14">
      <c r="A54" s="59">
        <v>3420.9796754165627</v>
      </c>
      <c r="B54" s="58">
        <v>-1664.055948827973</v>
      </c>
      <c r="C54" s="60">
        <v>3420.9796754165627</v>
      </c>
      <c r="D54" s="58">
        <v>-1664.055948827973</v>
      </c>
      <c r="E54" s="60"/>
      <c r="F54" s="58"/>
      <c r="G54" s="60"/>
      <c r="H54" s="58"/>
      <c r="I54" s="60"/>
      <c r="J54" s="58"/>
      <c r="K54" s="60"/>
      <c r="L54" s="58"/>
      <c r="M54" s="60"/>
      <c r="N54" s="58"/>
    </row>
    <row r="55" spans="1:14">
      <c r="A55" s="59">
        <v>3370.6536462133522</v>
      </c>
      <c r="B55" s="58">
        <v>-1743.9139849318431</v>
      </c>
      <c r="C55" s="60">
        <v>3370.6536462133522</v>
      </c>
      <c r="D55" s="58">
        <v>-1743.9139849318431</v>
      </c>
      <c r="E55" s="60"/>
      <c r="F55" s="58"/>
      <c r="G55" s="60"/>
      <c r="H55" s="58"/>
      <c r="I55" s="60"/>
      <c r="J55" s="58"/>
      <c r="K55" s="60"/>
      <c r="L55" s="58"/>
      <c r="M55" s="60"/>
      <c r="N55" s="58"/>
    </row>
    <row r="56" spans="1:14">
      <c r="A56" s="59">
        <v>3320.3276170101417</v>
      </c>
      <c r="B56" s="58">
        <v>-1819.8257580014281</v>
      </c>
      <c r="C56" s="60">
        <v>3320.3276170101417</v>
      </c>
      <c r="D56" s="58">
        <v>-1819.8257580014281</v>
      </c>
      <c r="E56" s="60"/>
      <c r="F56" s="58"/>
      <c r="G56" s="60"/>
      <c r="H56" s="58"/>
      <c r="I56" s="60"/>
      <c r="J56" s="58"/>
      <c r="K56" s="60"/>
      <c r="L56" s="58"/>
      <c r="M56" s="60"/>
      <c r="N56" s="58"/>
    </row>
    <row r="57" spans="1:14">
      <c r="A57" s="59">
        <v>3270.0015878069312</v>
      </c>
      <c r="B57" s="58">
        <v>-1892.1773054819118</v>
      </c>
      <c r="C57" s="60">
        <v>3270.0015878069312</v>
      </c>
      <c r="D57" s="58">
        <v>-1892.1773054819118</v>
      </c>
      <c r="E57" s="60"/>
      <c r="F57" s="58"/>
      <c r="G57" s="60"/>
      <c r="H57" s="58"/>
      <c r="I57" s="60"/>
      <c r="J57" s="58"/>
      <c r="K57" s="60"/>
      <c r="L57" s="58"/>
      <c r="M57" s="60"/>
      <c r="N57" s="58"/>
    </row>
    <row r="58" spans="1:14">
      <c r="A58" s="59">
        <v>3219.6755586037207</v>
      </c>
      <c r="B58" s="58">
        <v>-1961.2909926841312</v>
      </c>
      <c r="C58" s="60">
        <v>3219.6755586037207</v>
      </c>
      <c r="D58" s="58">
        <v>-1961.2909926841312</v>
      </c>
      <c r="E58" s="60"/>
      <c r="F58" s="58"/>
      <c r="G58" s="60"/>
      <c r="H58" s="58"/>
      <c r="I58" s="60"/>
      <c r="J58" s="58"/>
      <c r="K58" s="60"/>
      <c r="L58" s="58"/>
      <c r="M58" s="60"/>
      <c r="N58" s="58"/>
    </row>
    <row r="59" spans="1:14">
      <c r="A59" s="59">
        <v>3018.3714417908782</v>
      </c>
      <c r="B59" s="58">
        <v>-2210.2672041472465</v>
      </c>
      <c r="C59" s="60">
        <v>3018.3714417908782</v>
      </c>
      <c r="D59" s="58">
        <v>-2210.2672041472465</v>
      </c>
      <c r="E59" s="60"/>
      <c r="F59" s="58"/>
      <c r="G59" s="60"/>
      <c r="H59" s="58"/>
      <c r="I59" s="60"/>
      <c r="J59" s="58"/>
      <c r="K59" s="60"/>
      <c r="L59" s="58"/>
      <c r="M59" s="60"/>
      <c r="N59" s="58"/>
    </row>
    <row r="60" spans="1:14">
      <c r="A60" s="59">
        <v>2817.0673249780357</v>
      </c>
      <c r="B60" s="58">
        <v>-2423.6174716970077</v>
      </c>
      <c r="C60" s="60">
        <v>2817.0673249780357</v>
      </c>
      <c r="D60" s="58">
        <v>-2423.6174716970077</v>
      </c>
      <c r="E60" s="60"/>
      <c r="F60" s="58"/>
      <c r="G60" s="60"/>
      <c r="H60" s="58"/>
      <c r="I60" s="60"/>
      <c r="J60" s="58"/>
      <c r="K60" s="60"/>
      <c r="L60" s="58"/>
      <c r="M60" s="60"/>
      <c r="N60" s="58"/>
    </row>
    <row r="61" spans="1:14">
      <c r="A61" s="59">
        <v>2615.7632081651936</v>
      </c>
      <c r="B61" s="58">
        <v>-2608.8398072210261</v>
      </c>
      <c r="C61" s="60">
        <v>2615.7632081651936</v>
      </c>
      <c r="D61" s="58">
        <v>-2608.8398072210261</v>
      </c>
      <c r="E61" s="60"/>
      <c r="F61" s="58"/>
      <c r="G61" s="60"/>
      <c r="H61" s="58"/>
      <c r="I61" s="60"/>
      <c r="J61" s="58"/>
      <c r="K61" s="60"/>
      <c r="L61" s="58"/>
      <c r="M61" s="60"/>
      <c r="N61" s="58"/>
    </row>
    <row r="62" spans="1:14">
      <c r="A62" s="59">
        <v>2414.4590913523512</v>
      </c>
      <c r="B62" s="58">
        <v>-2770.8117896663753</v>
      </c>
      <c r="C62" s="60">
        <v>2414.4590913523512</v>
      </c>
      <c r="D62" s="58">
        <v>-2770.8117896663753</v>
      </c>
      <c r="E62" s="60"/>
      <c r="F62" s="58"/>
      <c r="G62" s="60"/>
      <c r="H62" s="58"/>
      <c r="I62" s="60"/>
      <c r="J62" s="58"/>
      <c r="K62" s="60"/>
      <c r="L62" s="58"/>
      <c r="M62" s="60"/>
      <c r="N62" s="58"/>
    </row>
    <row r="63" spans="1:14">
      <c r="A63" s="59">
        <v>2213.1549745395087</v>
      </c>
      <c r="B63" s="58">
        <v>-2912.9086343692293</v>
      </c>
      <c r="C63" s="60">
        <v>2213.1549745395087</v>
      </c>
      <c r="D63" s="58">
        <v>-2912.9086343692293</v>
      </c>
      <c r="E63" s="60"/>
      <c r="F63" s="58"/>
      <c r="G63" s="60"/>
      <c r="H63" s="58"/>
      <c r="I63" s="60"/>
      <c r="J63" s="58"/>
      <c r="K63" s="60"/>
      <c r="L63" s="58"/>
      <c r="M63" s="60"/>
      <c r="N63" s="58"/>
    </row>
    <row r="64" spans="1:14">
      <c r="A64" s="59">
        <v>2011.8508577266662</v>
      </c>
      <c r="B64" s="58">
        <v>-3037.5703290809679</v>
      </c>
      <c r="C64" s="60">
        <v>2011.8508577266662</v>
      </c>
      <c r="D64" s="58">
        <v>-3037.5703290809679</v>
      </c>
      <c r="E64" s="60"/>
      <c r="F64" s="58"/>
      <c r="G64" s="60"/>
      <c r="H64" s="58"/>
      <c r="I64" s="60"/>
      <c r="J64" s="58"/>
      <c r="K64" s="60"/>
      <c r="L64" s="58"/>
      <c r="M64" s="60"/>
      <c r="N64" s="58"/>
    </row>
    <row r="65" spans="1:14">
      <c r="A65" s="59">
        <v>1810.5467409138237</v>
      </c>
      <c r="B65" s="58">
        <v>-3146.6173516036979</v>
      </c>
      <c r="C65" s="60">
        <v>1810.5467409138237</v>
      </c>
      <c r="D65" s="58">
        <v>-3146.6173516036979</v>
      </c>
      <c r="E65" s="60"/>
      <c r="F65" s="58"/>
      <c r="G65" s="60"/>
      <c r="H65" s="58"/>
      <c r="I65" s="60"/>
      <c r="J65" s="58"/>
      <c r="K65" s="60"/>
      <c r="L65" s="58"/>
      <c r="M65" s="60"/>
      <c r="N65" s="58"/>
    </row>
    <row r="66" spans="1:14">
      <c r="A66" s="59">
        <v>1609.2426241009812</v>
      </c>
      <c r="B66" s="58">
        <v>-3241.4390149633577</v>
      </c>
      <c r="C66" s="60">
        <v>1609.2426241009812</v>
      </c>
      <c r="D66" s="58">
        <v>-3241.4390149633577</v>
      </c>
      <c r="E66" s="60"/>
      <c r="F66" s="58"/>
      <c r="G66" s="60"/>
      <c r="H66" s="58"/>
      <c r="I66" s="60"/>
      <c r="J66" s="58"/>
      <c r="K66" s="60"/>
      <c r="L66" s="58"/>
      <c r="M66" s="60"/>
      <c r="N66" s="58"/>
    </row>
    <row r="67" spans="1:14">
      <c r="A67" s="59">
        <v>1407.9385072881389</v>
      </c>
      <c r="B67" s="58">
        <v>-3323.1119447593928</v>
      </c>
      <c r="C67" s="60">
        <v>1407.9385072881389</v>
      </c>
      <c r="D67" s="58">
        <v>-3323.1119447593928</v>
      </c>
      <c r="E67" s="60"/>
      <c r="F67" s="58"/>
      <c r="G67" s="60"/>
      <c r="H67" s="58"/>
      <c r="I67" s="60"/>
      <c r="J67" s="58"/>
      <c r="K67" s="60"/>
      <c r="L67" s="58"/>
      <c r="M67" s="60"/>
      <c r="N67" s="58"/>
    </row>
    <row r="68" spans="1:14">
      <c r="A68" s="59">
        <v>1206.6343904752964</v>
      </c>
      <c r="B68" s="58">
        <v>-3392.4777312596766</v>
      </c>
      <c r="C68" s="60">
        <v>1206.6343904752964</v>
      </c>
      <c r="D68" s="58">
        <v>-3392.4777312596766</v>
      </c>
      <c r="E68" s="60"/>
      <c r="F68" s="58"/>
      <c r="G68" s="60"/>
      <c r="H68" s="58"/>
      <c r="I68" s="60"/>
      <c r="J68" s="58"/>
      <c r="K68" s="60"/>
      <c r="L68" s="58"/>
      <c r="M68" s="60"/>
      <c r="N68" s="58"/>
    </row>
    <row r="69" spans="1:14">
      <c r="A69" s="59">
        <v>1005.330273662454</v>
      </c>
      <c r="B69" s="58">
        <v>-3450.1954449408786</v>
      </c>
      <c r="C69" s="60">
        <v>1005.330273662454</v>
      </c>
      <c r="D69" s="58">
        <v>-3450.1954449408786</v>
      </c>
      <c r="E69" s="60"/>
      <c r="F69" s="58"/>
      <c r="G69" s="60"/>
      <c r="H69" s="58"/>
      <c r="I69" s="60"/>
      <c r="J69" s="58"/>
      <c r="K69" s="60"/>
      <c r="L69" s="58"/>
      <c r="M69" s="60"/>
      <c r="N69" s="58"/>
    </row>
    <row r="70" spans="1:14">
      <c r="A70" s="59">
        <v>804.02615684961154</v>
      </c>
      <c r="B70" s="58">
        <v>-3496.7779580910092</v>
      </c>
      <c r="C70" s="60">
        <v>804.02615684961154</v>
      </c>
      <c r="D70" s="58">
        <v>-3496.7779580910092</v>
      </c>
      <c r="E70" s="60"/>
      <c r="F70" s="58"/>
      <c r="G70" s="60"/>
      <c r="H70" s="58"/>
      <c r="I70" s="60"/>
      <c r="J70" s="58"/>
      <c r="K70" s="60"/>
      <c r="L70" s="58"/>
      <c r="M70" s="60"/>
      <c r="N70" s="58"/>
    </row>
    <row r="71" spans="1:14">
      <c r="A71" s="59">
        <v>602.72204003676916</v>
      </c>
      <c r="B71" s="58">
        <v>-3532.617391947681</v>
      </c>
      <c r="C71" s="60">
        <v>602.72204003676916</v>
      </c>
      <c r="D71" s="58">
        <v>-3532.617391947681</v>
      </c>
      <c r="E71" s="60"/>
      <c r="F71" s="58"/>
      <c r="G71" s="60"/>
      <c r="H71" s="58"/>
      <c r="I71" s="60"/>
      <c r="J71" s="58"/>
      <c r="K71" s="60"/>
      <c r="L71" s="58"/>
      <c r="M71" s="60"/>
      <c r="N71" s="58"/>
    </row>
    <row r="72" spans="1:14">
      <c r="A72" s="59">
        <v>401.41792322392666</v>
      </c>
      <c r="B72" s="58">
        <v>-3558.0029572878707</v>
      </c>
      <c r="C72" s="60">
        <v>401.41792322392666</v>
      </c>
      <c r="D72" s="58">
        <v>-3558.0029572878707</v>
      </c>
      <c r="E72" s="60"/>
      <c r="F72" s="58"/>
      <c r="G72" s="60"/>
      <c r="H72" s="58"/>
      <c r="I72" s="60"/>
      <c r="J72" s="58"/>
      <c r="K72" s="60"/>
      <c r="L72" s="58"/>
      <c r="M72" s="60"/>
      <c r="N72" s="58"/>
    </row>
    <row r="73" spans="1:14">
      <c r="A73" s="59">
        <v>200.11380641108423</v>
      </c>
      <c r="B73" s="58">
        <v>-3573.133236789597</v>
      </c>
      <c r="C73" s="60">
        <v>200.11380641108423</v>
      </c>
      <c r="D73" s="58">
        <v>-3573.133236789597</v>
      </c>
      <c r="E73" s="60"/>
      <c r="F73" s="58"/>
      <c r="G73" s="60"/>
      <c r="H73" s="58"/>
      <c r="I73" s="60"/>
      <c r="J73" s="58"/>
      <c r="K73" s="60"/>
      <c r="L73" s="58"/>
      <c r="M73" s="60"/>
      <c r="N73" s="58"/>
    </row>
    <row r="74" spans="1:14" ht="15.75" thickBot="1">
      <c r="A74" s="64">
        <v>-1.1903104017582373</v>
      </c>
      <c r="B74" s="65">
        <v>-3578.1241955823052</v>
      </c>
      <c r="C74" s="59">
        <v>-1.1903104017582373</v>
      </c>
      <c r="D74" s="65">
        <v>-3578.1241955823052</v>
      </c>
      <c r="E74" s="60"/>
      <c r="F74" s="58"/>
      <c r="G74" s="64"/>
      <c r="H74" s="65"/>
      <c r="I74" s="70"/>
      <c r="J74" s="65"/>
      <c r="K74" s="70"/>
      <c r="L74" s="65"/>
      <c r="M74" s="70"/>
      <c r="N74" s="65"/>
    </row>
    <row r="75" spans="1:14">
      <c r="C75" s="67"/>
      <c r="D75" s="66"/>
      <c r="E75" s="68"/>
      <c r="F75" s="69"/>
    </row>
  </sheetData>
  <mergeCells count="7">
    <mergeCell ref="K5:L5"/>
    <mergeCell ref="M5:N5"/>
    <mergeCell ref="A5:B5"/>
    <mergeCell ref="C5:D5"/>
    <mergeCell ref="E5:F5"/>
    <mergeCell ref="G5:H5"/>
    <mergeCell ref="I5:J5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tabSelected="1" workbookViewId="0">
      <selection activeCell="I33" sqref="I33"/>
    </sheetView>
  </sheetViews>
  <sheetFormatPr baseColWidth="10" defaultRowHeight="15"/>
  <cols>
    <col min="1" max="1" width="19.42578125" customWidth="1"/>
    <col min="4" max="5" width="15" bestFit="1" customWidth="1"/>
    <col min="6" max="6" width="14.5703125" customWidth="1"/>
    <col min="8" max="8" width="14" bestFit="1" customWidth="1"/>
  </cols>
  <sheetData>
    <row r="1" spans="1:8">
      <c r="A1" t="s">
        <v>112</v>
      </c>
    </row>
    <row r="2" spans="1:8" ht="15.75" thickBot="1">
      <c r="B2" s="185" t="s">
        <v>123</v>
      </c>
      <c r="C2" s="185"/>
      <c r="D2" s="185"/>
      <c r="E2" s="185" t="s">
        <v>122</v>
      </c>
      <c r="F2" s="185"/>
      <c r="G2" s="185"/>
      <c r="H2" s="185"/>
    </row>
    <row r="3" spans="1:8" ht="15.75" thickBot="1">
      <c r="A3" s="74" t="s">
        <v>124</v>
      </c>
      <c r="B3" s="75">
        <v>35</v>
      </c>
      <c r="C3" s="73">
        <v>50</v>
      </c>
      <c r="D3" s="46">
        <v>60</v>
      </c>
      <c r="E3" s="75">
        <v>-20</v>
      </c>
      <c r="F3" s="73">
        <f>B3</f>
        <v>35</v>
      </c>
      <c r="G3" s="73">
        <f>C3</f>
        <v>50</v>
      </c>
      <c r="H3" s="46">
        <f>D3</f>
        <v>60</v>
      </c>
    </row>
    <row r="4" spans="1:8" ht="15.75" thickBot="1">
      <c r="A4" s="92" t="s">
        <v>125</v>
      </c>
      <c r="B4" s="93">
        <v>1172</v>
      </c>
      <c r="C4" s="132">
        <f>Ii_r</f>
        <v>1050</v>
      </c>
      <c r="D4" s="86">
        <v>756</v>
      </c>
      <c r="E4" s="94">
        <f>F4</f>
        <v>1.1161904761904762</v>
      </c>
      <c r="F4" s="95">
        <f>B4/$C4</f>
        <v>1.1161904761904762</v>
      </c>
      <c r="G4" s="96">
        <f>C4/$C4</f>
        <v>1</v>
      </c>
      <c r="H4" s="97">
        <f>D4/$C4</f>
        <v>0.72</v>
      </c>
    </row>
    <row r="11" spans="1:8" ht="26.25" customHeight="1"/>
    <row r="17" spans="1:7">
      <c r="A17" t="s">
        <v>119</v>
      </c>
    </row>
    <row r="18" spans="1:7" ht="15.75" thickBot="1"/>
    <row r="19" spans="1:7" ht="15.75" thickBot="1">
      <c r="A19" s="72" t="s">
        <v>107</v>
      </c>
      <c r="B19" s="72">
        <v>500</v>
      </c>
      <c r="C19" s="87">
        <v>950</v>
      </c>
      <c r="D19" s="87">
        <v>1250</v>
      </c>
      <c r="E19" s="87">
        <v>1350</v>
      </c>
      <c r="F19" s="87">
        <v>1500</v>
      </c>
      <c r="G19" s="88">
        <v>1500</v>
      </c>
    </row>
    <row r="20" spans="1:7" ht="15.75" thickBot="1">
      <c r="A20" s="78" t="s">
        <v>111</v>
      </c>
      <c r="B20" s="89">
        <v>1.1499999999999999</v>
      </c>
      <c r="C20" s="90">
        <v>1.1499999999999999</v>
      </c>
      <c r="D20" s="90">
        <v>1</v>
      </c>
      <c r="E20" s="90">
        <v>0.45</v>
      </c>
      <c r="F20" s="90">
        <v>0.05</v>
      </c>
      <c r="G20" s="91">
        <v>0</v>
      </c>
    </row>
    <row r="23" spans="1:7">
      <c r="A23" t="s">
        <v>113</v>
      </c>
    </row>
    <row r="24" spans="1:7" ht="15.75" thickBot="1"/>
    <row r="25" spans="1:7">
      <c r="A25" s="98" t="s">
        <v>118</v>
      </c>
      <c r="B25" s="76" t="s">
        <v>114</v>
      </c>
      <c r="C25" s="76" t="s">
        <v>116</v>
      </c>
      <c r="D25" s="77" t="s">
        <v>117</v>
      </c>
    </row>
    <row r="26" spans="1:7" ht="15.75" thickBot="1">
      <c r="A26" s="84" t="s">
        <v>115</v>
      </c>
      <c r="B26" s="85">
        <v>0</v>
      </c>
      <c r="C26" s="85">
        <v>6</v>
      </c>
      <c r="D26" s="86">
        <v>7.5</v>
      </c>
    </row>
    <row r="28" spans="1:7">
      <c r="A28" t="s">
        <v>103</v>
      </c>
    </row>
    <row r="29" spans="1:7" ht="15.75" thickBot="1"/>
    <row r="30" spans="1:7" ht="15.75" thickBot="1">
      <c r="A30" s="79" t="s">
        <v>104</v>
      </c>
      <c r="B30" s="45">
        <v>0</v>
      </c>
      <c r="C30" s="73">
        <v>2000</v>
      </c>
      <c r="D30" s="73">
        <v>3000</v>
      </c>
      <c r="E30" s="46">
        <v>4000</v>
      </c>
    </row>
    <row r="31" spans="1:7">
      <c r="A31" s="79" t="s">
        <v>105</v>
      </c>
      <c r="B31" s="80">
        <v>1500</v>
      </c>
      <c r="C31" s="81">
        <v>1500</v>
      </c>
      <c r="D31" s="81">
        <f>C31*0.88</f>
        <v>1320</v>
      </c>
      <c r="E31" s="82">
        <f>C31*0.78</f>
        <v>1170</v>
      </c>
    </row>
    <row r="32" spans="1:7" ht="15.75" thickBot="1">
      <c r="A32" s="83" t="s">
        <v>106</v>
      </c>
      <c r="B32" s="84">
        <v>690</v>
      </c>
      <c r="C32" s="85">
        <v>690</v>
      </c>
      <c r="D32" s="85">
        <f>C32*0.88</f>
        <v>607.20000000000005</v>
      </c>
      <c r="E32" s="86">
        <f>C32*0.78</f>
        <v>538.20000000000005</v>
      </c>
    </row>
    <row r="33" spans="2:8" ht="17.25" customHeight="1"/>
    <row r="35" spans="2:8">
      <c r="B35" t="s">
        <v>121</v>
      </c>
    </row>
    <row r="36" spans="2:8" ht="15.75" thickBot="1">
      <c r="B36" t="s">
        <v>126</v>
      </c>
    </row>
    <row r="37" spans="2:8" ht="16.5" thickTop="1" thickBot="1">
      <c r="B37" s="105" t="s">
        <v>78</v>
      </c>
      <c r="C37" s="105">
        <f>1050*Capability!$B$1*SQRT(3)*Nm/1000</f>
        <v>3382.6952271820178</v>
      </c>
    </row>
    <row r="38" spans="2:8" ht="16.5" thickTop="1" thickBot="1"/>
    <row r="39" spans="2:8" ht="15.75" thickBot="1">
      <c r="D39" s="179" t="s">
        <v>31</v>
      </c>
      <c r="E39" s="180"/>
      <c r="F39" s="180"/>
      <c r="G39" s="180"/>
      <c r="H39" s="181"/>
    </row>
    <row r="40" spans="2:8" ht="15.75" thickBot="1">
      <c r="B40" s="71"/>
      <c r="C40" s="71"/>
      <c r="D40" s="109">
        <v>1250</v>
      </c>
      <c r="E40" s="104">
        <v>1200</v>
      </c>
      <c r="F40" s="104">
        <v>1100</v>
      </c>
      <c r="G40" s="104">
        <v>1000</v>
      </c>
      <c r="H40" s="110">
        <v>950</v>
      </c>
    </row>
    <row r="41" spans="2:8" ht="15.75" thickBot="1">
      <c r="B41" s="103" t="s">
        <v>108</v>
      </c>
      <c r="C41" s="102" t="s">
        <v>109</v>
      </c>
      <c r="D41" s="99" t="str">
        <f>CONCATENATE("S(kVA) @ ",D40,"V")</f>
        <v>S(kVA) @ 1250V</v>
      </c>
      <c r="E41" s="100" t="str">
        <f>CONCATENATE("S(kVA) @ ",E40,"V")</f>
        <v>S(kVA) @ 1200V</v>
      </c>
      <c r="F41" s="100" t="str">
        <f>CONCATENATE("S(kVA) @ ",F40,"V")</f>
        <v>S(kVA) @ 1100V</v>
      </c>
      <c r="G41" s="100" t="str">
        <f>CONCATENATE("S(kVA) @ ",G40,"V")</f>
        <v>S(kVA) @ 1000V</v>
      </c>
      <c r="H41" s="101" t="str">
        <f>CONCATENATE("S(kVA) @ ",H40,"V")</f>
        <v>S(kVA) @ 950V</v>
      </c>
    </row>
    <row r="42" spans="2:8">
      <c r="B42" s="111">
        <v>1.1161904761904762</v>
      </c>
      <c r="C42" s="107">
        <v>-20</v>
      </c>
      <c r="D42" s="119">
        <f t="shared" ref="D42:H45" si="0">$B42*$C$37*IF(D$40&lt;=$C$51,$B$51,IF(D$40&lt;=$C$52,$B$52+($B$51-$B$52)/($C$52-$C$51)*($C$52-D$40),IF(D$40&lt;=$C$53,$B$53+($B$52-$B$53)/($C$53-$C$52)*($C$53-D$40),IF(D$40&lt;=$C$54,$B$54+($B$53-$B$54)/($C$54-$C$53)*($C$54-D$40),0))))</f>
        <v>3775.7321964355474</v>
      </c>
      <c r="E42" s="120">
        <f t="shared" si="0"/>
        <v>3871.3067599971978</v>
      </c>
      <c r="F42" s="120">
        <f t="shared" si="0"/>
        <v>4062.455887120499</v>
      </c>
      <c r="G42" s="120">
        <f t="shared" si="0"/>
        <v>4253.6050142438007</v>
      </c>
      <c r="H42" s="121">
        <f t="shared" si="0"/>
        <v>4349.1795778054511</v>
      </c>
    </row>
    <row r="43" spans="2:8">
      <c r="B43" s="111">
        <v>1.1161904761904762</v>
      </c>
      <c r="C43" s="107">
        <v>35</v>
      </c>
      <c r="D43" s="122">
        <f t="shared" si="0"/>
        <v>3775.7321964355474</v>
      </c>
      <c r="E43" s="123">
        <f t="shared" si="0"/>
        <v>3871.3067599971978</v>
      </c>
      <c r="F43" s="123">
        <f t="shared" si="0"/>
        <v>4062.455887120499</v>
      </c>
      <c r="G43" s="123">
        <f t="shared" si="0"/>
        <v>4253.6050142438007</v>
      </c>
      <c r="H43" s="124">
        <f t="shared" si="0"/>
        <v>4349.1795778054511</v>
      </c>
    </row>
    <row r="44" spans="2:8">
      <c r="B44" s="111">
        <v>1</v>
      </c>
      <c r="C44" s="107">
        <v>50</v>
      </c>
      <c r="D44" s="122">
        <f t="shared" si="0"/>
        <v>3382.6952271820178</v>
      </c>
      <c r="E44" s="123">
        <f t="shared" si="0"/>
        <v>3468.3209027278649</v>
      </c>
      <c r="F44" s="123">
        <f t="shared" si="0"/>
        <v>3639.5722538195596</v>
      </c>
      <c r="G44" s="123">
        <f t="shared" si="0"/>
        <v>3810.8236049112547</v>
      </c>
      <c r="H44" s="124">
        <f t="shared" si="0"/>
        <v>3896.4492804571023</v>
      </c>
    </row>
    <row r="45" spans="2:8" ht="15.75" thickBot="1">
      <c r="B45" s="112">
        <v>0.72</v>
      </c>
      <c r="C45" s="108">
        <v>60</v>
      </c>
      <c r="D45" s="125">
        <f t="shared" si="0"/>
        <v>2435.5405635710526</v>
      </c>
      <c r="E45" s="126">
        <f t="shared" si="0"/>
        <v>2497.1910499640626</v>
      </c>
      <c r="F45" s="126">
        <f t="shared" si="0"/>
        <v>2620.4920227500829</v>
      </c>
      <c r="G45" s="126">
        <f t="shared" si="0"/>
        <v>2743.7929955361033</v>
      </c>
      <c r="H45" s="127">
        <f t="shared" si="0"/>
        <v>2805.4434819291132</v>
      </c>
    </row>
    <row r="46" spans="2:8" ht="15.75" thickBot="1"/>
    <row r="47" spans="2:8" ht="15.75" thickBot="1">
      <c r="D47" s="182" t="s">
        <v>120</v>
      </c>
      <c r="E47" s="183"/>
      <c r="F47" s="184"/>
    </row>
    <row r="48" spans="2:8" ht="15.75" thickBot="1">
      <c r="B48" s="71"/>
      <c r="C48" s="71"/>
      <c r="D48" s="116">
        <v>30</v>
      </c>
      <c r="E48" s="117">
        <v>40</v>
      </c>
      <c r="F48" s="118">
        <v>50</v>
      </c>
    </row>
    <row r="49" spans="2:6" ht="15.75" thickBot="1">
      <c r="B49" s="106" t="s">
        <v>110</v>
      </c>
      <c r="C49" s="113" t="s">
        <v>31</v>
      </c>
      <c r="D49" s="99" t="str">
        <f>CONCATENATE("S(kVA) @ ",D48,"ºC")</f>
        <v>S(kVA) @ 30ºC</v>
      </c>
      <c r="E49" s="100" t="str">
        <f>CONCATENATE("S(kVA) @ ",E48,"ºC")</f>
        <v>S(kVA) @ 40ºC</v>
      </c>
      <c r="F49" s="101" t="str">
        <f>CONCATENATE("S(kVA) @ ",F48,"ºC")</f>
        <v>S(kVA) @ 50ºC</v>
      </c>
    </row>
    <row r="50" spans="2:6">
      <c r="B50" s="111">
        <v>1.151877133105802</v>
      </c>
      <c r="C50" s="114">
        <v>500</v>
      </c>
      <c r="D50" s="119">
        <f t="shared" ref="D50:F54" si="1">$B50*$C$37*IF(D$48&lt;=$C$43,$B$43,IF(D$48&lt;=$C$44,$B$44+($B$43-$B$44)/($C$44-$C$43)*($C$44-D$48),IF(D$48&lt;=$C$45,$B$45+($B$44-$B$45)/($C$45-$C$44)*($C$45-D$48),0)))</f>
        <v>4349.1795778054511</v>
      </c>
      <c r="E50" s="120">
        <f t="shared" si="1"/>
        <v>4198.2694786893353</v>
      </c>
      <c r="F50" s="121">
        <f t="shared" si="1"/>
        <v>3896.4492804571023</v>
      </c>
    </row>
    <row r="51" spans="2:6">
      <c r="B51" s="111">
        <v>1.151877133105802</v>
      </c>
      <c r="C51" s="114">
        <v>950</v>
      </c>
      <c r="D51" s="122">
        <f t="shared" si="1"/>
        <v>4349.1795778054511</v>
      </c>
      <c r="E51" s="123">
        <f t="shared" si="1"/>
        <v>4198.2694786893353</v>
      </c>
      <c r="F51" s="124">
        <f t="shared" si="1"/>
        <v>3896.4492804571023</v>
      </c>
    </row>
    <row r="52" spans="2:6">
      <c r="B52" s="111">
        <v>1</v>
      </c>
      <c r="C52" s="114">
        <v>1250</v>
      </c>
      <c r="D52" s="122">
        <f t="shared" si="1"/>
        <v>3775.7321964355474</v>
      </c>
      <c r="E52" s="123">
        <f t="shared" si="1"/>
        <v>3644.7198733510377</v>
      </c>
      <c r="F52" s="124">
        <f t="shared" si="1"/>
        <v>3382.6952271820178</v>
      </c>
    </row>
    <row r="53" spans="2:6">
      <c r="B53" s="111">
        <v>0.45</v>
      </c>
      <c r="C53" s="114">
        <v>1350</v>
      </c>
      <c r="D53" s="122">
        <f t="shared" si="1"/>
        <v>1699.0794883959963</v>
      </c>
      <c r="E53" s="123">
        <f t="shared" si="1"/>
        <v>1640.123943007967</v>
      </c>
      <c r="F53" s="124">
        <f t="shared" si="1"/>
        <v>1522.2128522319081</v>
      </c>
    </row>
    <row r="54" spans="2:6" ht="15.75" thickBot="1">
      <c r="B54" s="112">
        <v>0.05</v>
      </c>
      <c r="C54" s="115">
        <v>1500</v>
      </c>
      <c r="D54" s="125">
        <f t="shared" si="1"/>
        <v>188.7866098217774</v>
      </c>
      <c r="E54" s="126">
        <f t="shared" si="1"/>
        <v>182.2359936675519</v>
      </c>
      <c r="F54" s="127">
        <f t="shared" si="1"/>
        <v>169.13476135910091</v>
      </c>
    </row>
  </sheetData>
  <mergeCells count="4">
    <mergeCell ref="D39:H39"/>
    <mergeCell ref="D47:F47"/>
    <mergeCell ref="B2:D2"/>
    <mergeCell ref="E2:H2"/>
  </mergeCells>
  <hyperlinks>
    <hyperlink ref="D3" r:id="rId1" display="I@60" xr:uid="{00000000-0004-0000-0200-000000000000}"/>
    <hyperlink ref="C3" r:id="rId2" display="I@50" xr:uid="{00000000-0004-0000-0200-000001000000}"/>
    <hyperlink ref="B3" r:id="rId3" display="I@35" xr:uid="{00000000-0004-0000-0200-000002000000}"/>
  </hyperlinks>
  <pageMargins left="0.7" right="0.7" top="0.75" bottom="0.75" header="0.3" footer="0.3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5"/>
  <sheetViews>
    <sheetView workbookViewId="0">
      <selection activeCell="M6" sqref="M6"/>
    </sheetView>
  </sheetViews>
  <sheetFormatPr baseColWidth="10" defaultColWidth="9.140625" defaultRowHeight="15"/>
  <cols>
    <col min="3" max="4" width="11.85546875" bestFit="1" customWidth="1"/>
    <col min="5" max="5" width="14.28515625" bestFit="1" customWidth="1"/>
    <col min="16" max="16" width="0" hidden="1" customWidth="1"/>
  </cols>
  <sheetData>
    <row r="1" spans="1:29">
      <c r="A1" t="s">
        <v>35</v>
      </c>
      <c r="B1">
        <v>1050</v>
      </c>
      <c r="M1" t="s">
        <v>72</v>
      </c>
      <c r="N1" s="34"/>
      <c r="AC1" t="s">
        <v>84</v>
      </c>
    </row>
    <row r="2" spans="1:29">
      <c r="B2">
        <f>1/0.8645</f>
        <v>1.156737998843262</v>
      </c>
      <c r="M2">
        <v>400</v>
      </c>
      <c r="AC2" t="s">
        <v>85</v>
      </c>
    </row>
    <row r="3" spans="1:29">
      <c r="M3">
        <v>440</v>
      </c>
    </row>
    <row r="4" spans="1:29">
      <c r="M4">
        <v>480</v>
      </c>
    </row>
    <row r="5" spans="1:29">
      <c r="M5">
        <v>530</v>
      </c>
    </row>
    <row r="6" spans="1:29">
      <c r="B6" t="s">
        <v>30</v>
      </c>
      <c r="C6">
        <f>IF(Capability!B6&gt;2000,(Capability!B6-2000)*H8/1000+G8,IF(Capability!B6&gt;1000,(Capability!B6-1000)*G8/1000,0))</f>
        <v>11.25</v>
      </c>
      <c r="M6">
        <v>560</v>
      </c>
    </row>
    <row r="7" spans="1:29">
      <c r="B7" t="s">
        <v>26</v>
      </c>
      <c r="C7" t="s">
        <v>27</v>
      </c>
      <c r="D7" t="s">
        <v>61</v>
      </c>
      <c r="E7" t="s">
        <v>62</v>
      </c>
      <c r="G7" t="s">
        <v>28</v>
      </c>
      <c r="H7" t="s">
        <v>29</v>
      </c>
      <c r="M7">
        <v>575</v>
      </c>
    </row>
    <row r="8" spans="1:29">
      <c r="B8">
        <v>-20</v>
      </c>
      <c r="C8" s="18">
        <f>C11</f>
        <v>1.1161904761904762</v>
      </c>
      <c r="D8" s="22">
        <f t="shared" ref="D8:D13" si="0">IF(C8*$E$33&gt;$H$33,$H$33,C8*$E$33)</f>
        <v>1.1831619047619049</v>
      </c>
      <c r="E8" s="22">
        <f t="shared" ref="E8:E13" si="1">IF(C8*$E$34&gt;$H$33,$H$33,C8*$E$34)</f>
        <v>1.1831619047619049</v>
      </c>
      <c r="G8">
        <v>6</v>
      </c>
      <c r="H8">
        <v>7.5</v>
      </c>
      <c r="M8">
        <v>590</v>
      </c>
    </row>
    <row r="9" spans="1:29">
      <c r="B9">
        <v>-10</v>
      </c>
      <c r="C9" s="18">
        <f>C11</f>
        <v>1.1161904761904762</v>
      </c>
      <c r="D9" s="22">
        <f t="shared" si="0"/>
        <v>1.1831619047619049</v>
      </c>
      <c r="E9" s="22">
        <f t="shared" si="1"/>
        <v>1.1831619047619049</v>
      </c>
      <c r="M9">
        <v>605</v>
      </c>
    </row>
    <row r="10" spans="1:29">
      <c r="B10">
        <v>0</v>
      </c>
      <c r="C10" s="18">
        <f>C11</f>
        <v>1.1161904761904762</v>
      </c>
      <c r="D10" s="22">
        <f t="shared" si="0"/>
        <v>1.1831619047619049</v>
      </c>
      <c r="E10" s="22">
        <f t="shared" si="1"/>
        <v>1.1831619047619049</v>
      </c>
      <c r="M10">
        <v>620</v>
      </c>
    </row>
    <row r="11" spans="1:29">
      <c r="B11">
        <v>35</v>
      </c>
      <c r="C11" s="17">
        <f>1172/1050</f>
        <v>1.1161904761904762</v>
      </c>
      <c r="D11" s="22">
        <f t="shared" si="0"/>
        <v>1.1831619047619049</v>
      </c>
      <c r="E11" s="22">
        <f t="shared" si="1"/>
        <v>1.1831619047619049</v>
      </c>
      <c r="M11">
        <v>630</v>
      </c>
    </row>
    <row r="12" spans="1:29">
      <c r="B12">
        <v>50</v>
      </c>
      <c r="C12" s="17">
        <f>1050/1050</f>
        <v>1</v>
      </c>
      <c r="D12" s="22">
        <f t="shared" si="0"/>
        <v>1.1499999999999999</v>
      </c>
      <c r="E12" s="22">
        <f t="shared" si="1"/>
        <v>1.1499999999999999</v>
      </c>
      <c r="M12">
        <v>650</v>
      </c>
    </row>
    <row r="13" spans="1:29">
      <c r="B13">
        <v>60</v>
      </c>
      <c r="C13" s="17">
        <f>756/1050</f>
        <v>0.72</v>
      </c>
      <c r="D13" s="22">
        <f t="shared" si="0"/>
        <v>0.82799999999999996</v>
      </c>
      <c r="E13" s="22">
        <f t="shared" si="1"/>
        <v>0.82799999999999996</v>
      </c>
      <c r="M13">
        <v>660</v>
      </c>
    </row>
    <row r="14" spans="1:29">
      <c r="M14">
        <v>690</v>
      </c>
    </row>
    <row r="16" spans="1:29">
      <c r="B16" t="s">
        <v>31</v>
      </c>
      <c r="C16" t="s">
        <v>27</v>
      </c>
    </row>
    <row r="17" spans="1:7">
      <c r="B17">
        <v>950</v>
      </c>
      <c r="C17" s="17">
        <v>1.1499999999999999</v>
      </c>
      <c r="D17" t="s">
        <v>100</v>
      </c>
    </row>
    <row r="18" spans="1:7">
      <c r="B18">
        <v>1250</v>
      </c>
      <c r="C18" s="17">
        <f>1172/1172</f>
        <v>1</v>
      </c>
    </row>
    <row r="19" spans="1:7">
      <c r="B19">
        <v>1350</v>
      </c>
      <c r="C19" s="18">
        <v>0.45</v>
      </c>
    </row>
    <row r="20" spans="1:7">
      <c r="B20">
        <v>1500</v>
      </c>
      <c r="C20" s="18">
        <v>0.05</v>
      </c>
    </row>
    <row r="22" spans="1:7">
      <c r="A22" s="3" t="s">
        <v>22</v>
      </c>
      <c r="B22" s="6">
        <f>130*10^-6</f>
        <v>1.2999999999999999E-4</v>
      </c>
    </row>
    <row r="23" spans="1:7">
      <c r="A23" s="3" t="s">
        <v>24</v>
      </c>
      <c r="B23" s="6">
        <f>1200*10^-6</f>
        <v>1.1999999999999999E-3</v>
      </c>
    </row>
    <row r="24" spans="1:7">
      <c r="A24" s="3" t="s">
        <v>23</v>
      </c>
      <c r="B24" s="6">
        <f>25*10^-6</f>
        <v>2.4999999999999998E-5</v>
      </c>
    </row>
    <row r="26" spans="1:7">
      <c r="A26" s="1" t="s">
        <v>7</v>
      </c>
      <c r="B26" s="4">
        <f>1-Li*Co*wg*wg</f>
        <v>0.98460341713430055</v>
      </c>
    </row>
    <row r="27" spans="1:7">
      <c r="A27" s="1" t="s">
        <v>8</v>
      </c>
      <c r="B27" s="4">
        <f>Lo*wg+Li*wg*(1-Co*Lo*wg^2)</f>
        <v>4.8573761651588623E-2</v>
      </c>
    </row>
    <row r="28" spans="1:7">
      <c r="A28" s="1" t="s">
        <v>9</v>
      </c>
      <c r="B28" s="4">
        <f>1-Lo*Co*wg^2</f>
        <v>0.99703911867967321</v>
      </c>
    </row>
    <row r="29" spans="1:7">
      <c r="A29" s="1" t="s">
        <v>10</v>
      </c>
      <c r="B29" s="4">
        <f>Co*wg</f>
        <v>0.37699111843077515</v>
      </c>
    </row>
    <row r="32" spans="1:7">
      <c r="B32" t="s">
        <v>63</v>
      </c>
      <c r="C32" t="s">
        <v>64</v>
      </c>
      <c r="D32" t="s">
        <v>31</v>
      </c>
      <c r="E32" t="s">
        <v>46</v>
      </c>
      <c r="G32" t="s">
        <v>65</v>
      </c>
    </row>
    <row r="33" spans="1:8">
      <c r="A33" t="s">
        <v>61</v>
      </c>
      <c r="B33">
        <f>Ii_r*Capability!B10</f>
        <v>1206.7124999999999</v>
      </c>
      <c r="C33">
        <f>(Vo/SQRT(3)*SQRT(1-Capability!B33^2)*Co*wg+SQRT(B33^2-Capability!B33^2*(Vo/SQRT(3))^2*Co^2*wg^2))/K_3</f>
        <v>1202.7042809332058</v>
      </c>
      <c r="D33">
        <f>Vdc_offset+Vac_to_Vdc*SQRT(3)*SQRT((Vo/SQRT(3)*K_1+(Nm*IF(I_set&gt;C33,C33,I_set))/Nm*SQRT(1-Capability!B33^2)*K_2)^2+((Nm*IF(I_set&gt;C33,C33,I_set))/Nm*Capability!B33*K_2)^2)</f>
        <v>894.86023754901089</v>
      </c>
      <c r="E33">
        <f>IF(D33&gt;aux!B20,0,IF(D33&gt;aux!B19,(D33-aux!B19)*(aux!C19-aux!C20)/(aux!B19-aux!B20)+aux!C19,IF(D33&gt;aux!B18,(aux!C18-aux!C19)/(aux!B18-aux!B19)*(D33-aux!B18)+aux!C18,IF(D33&gt;aux!B17,(aux!C17-aux!C18)/(aux!B17-aux!B18)*(D33-aux!B17)+aux!C17,aux!C17))))</f>
        <v>1.1499999999999999</v>
      </c>
      <c r="G33">
        <f>Ii</f>
        <v>1242.3200000000002</v>
      </c>
      <c r="H33">
        <f>G33/Ii_r</f>
        <v>1.1831619047619049</v>
      </c>
    </row>
    <row r="34" spans="1:8">
      <c r="A34" t="s">
        <v>62</v>
      </c>
      <c r="B34">
        <f>IF(Capability!D8&gt;aux!B12,(Capability!D8-aux!B12)/(aux!B13-aux!B12)*(aux!D13-aux!D12)+aux!D12,IF(Capability!D8&gt;aux!B11,(Capability!D8-aux!B11)/(aux!B12-aux!B11)*(aux!D12-aux!D11)+aux!D11,aux!D10))*Ii_r</f>
        <v>-29272.215</v>
      </c>
      <c r="C34">
        <f>(Vo/SQRT(3)*SQRT(1-Capability!B33^2)*Co*wg+SQRT(B34^2-Capability!B33^2*(Vo/SQRT(3))^2*Co^2*wg^2))/K_3</f>
        <v>29358.831959341322</v>
      </c>
      <c r="D34">
        <f>Vdc_offset+Vac_to_Vdc*SQRT(3)*SQRT((Vo/SQRT(3)*K_1+(Nm*IF(I_set&gt;C34,C34,I_set))/Nm*SQRT(1-Capability!B33^2)*K_2)^2+((Nm*IF(I_set&gt;C34,C34,I_set))/Nm*Capability!B33*K_2)^2)</f>
        <v>939.35645065466258</v>
      </c>
      <c r="E34">
        <f>IF(D34&gt;aux!B20,0,IF(D34&gt;aux!B19,(D34-aux!B19)*(aux!C19-aux!C20)/(aux!B19-aux!B20)+aux!C19,IF(D34&gt;aux!B18,(aux!C18-aux!C19)/(aux!B18-aux!B19)*(D34-aux!B18)+aux!C18,IF(D34&gt;aux!B17,(aux!C17-aux!C18)/(aux!B17-aux!B18)*(D34-aux!B17)+aux!C17,aux!C17))))</f>
        <v>1.1499999999999999</v>
      </c>
    </row>
    <row r="35" spans="1:8">
      <c r="A35" t="s">
        <v>66</v>
      </c>
      <c r="B35">
        <f>IF(Capability!D8&gt;aux!B12,(Capability!D8-aux!B12)/(aux!B13-aux!B12)*(aux!E13-aux!E12)+aux!E12,IF(Capability!D8&gt;aux!B11,(Capability!D8-aux!B11)/(aux!B12-aux!B11)*(aux!E12-aux!E11)+aux!E11,aux!E10))*Ii_r</f>
        <v>-29272.215</v>
      </c>
      <c r="C35">
        <f>(Vo/SQRT(3)*SQRT(1-Capability!B33^2)*Co*wg+SQRT(B35^2-Capability!B33^2*(Vo/SQRT(3))^2*Co^2*wg^2))/K_3</f>
        <v>29358.831959341322</v>
      </c>
      <c r="D35">
        <f>Vdc_offset+Vac_to_Vdc*SQRT(3)*SQRT((Vo/SQRT(3)*K_1+(Nm*IF(I_set&gt;C35,C35,I_set))/Nm*SQRT(1-Capability!B33^2)*K_2)^2+((Nm*IF(I_set&gt;C35,C35,I_set))/Nm*Capability!B33*K_2)^2)</f>
        <v>939.35645065466258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9"/>
  <sheetViews>
    <sheetView workbookViewId="0">
      <selection activeCell="D8" sqref="D8"/>
    </sheetView>
  </sheetViews>
  <sheetFormatPr baseColWidth="10" defaultRowHeight="15"/>
  <cols>
    <col min="1" max="1" width="28.140625" customWidth="1"/>
    <col min="2" max="2" width="14.5703125" bestFit="1" customWidth="1"/>
    <col min="3" max="3" width="17.42578125" bestFit="1" customWidth="1"/>
    <col min="4" max="4" width="10.5703125" bestFit="1" customWidth="1"/>
    <col min="5" max="5" width="9.140625"/>
    <col min="6" max="6" width="21.140625" bestFit="1" customWidth="1"/>
    <col min="7" max="7" width="9.140625"/>
    <col min="8" max="8" width="9.140625" hidden="1" customWidth="1"/>
    <col min="9" max="12" width="11.85546875" hidden="1" customWidth="1"/>
    <col min="13" max="13" width="10.5703125" bestFit="1" customWidth="1"/>
    <col min="14" max="15" width="10.5703125" customWidth="1"/>
    <col min="16" max="16" width="10.7109375" bestFit="1" customWidth="1"/>
    <col min="17" max="18" width="9.140625"/>
    <col min="19" max="19" width="10.85546875" bestFit="1" customWidth="1"/>
  </cols>
  <sheetData>
    <row r="1" spans="1:19" ht="15.75" thickBot="1">
      <c r="A1" s="3" t="s">
        <v>70</v>
      </c>
      <c r="B1">
        <f>Capability!B1</f>
        <v>620</v>
      </c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18</v>
      </c>
      <c r="O1" s="2" t="s">
        <v>19</v>
      </c>
      <c r="P1" s="2" t="s">
        <v>14</v>
      </c>
      <c r="Q1" s="2" t="s">
        <v>13</v>
      </c>
      <c r="R1" s="2" t="s">
        <v>12</v>
      </c>
    </row>
    <row r="2" spans="1:19" ht="16.5" thickTop="1" thickBot="1">
      <c r="A2" s="3" t="s">
        <v>71</v>
      </c>
      <c r="B2" s="28">
        <v>0.9</v>
      </c>
      <c r="F2" t="s">
        <v>20</v>
      </c>
      <c r="G2" s="15">
        <f>Capability!G2</f>
        <v>3750</v>
      </c>
      <c r="H2" s="1">
        <f>G2*1000</f>
        <v>3750000</v>
      </c>
      <c r="I2" s="8">
        <f>Nm*(SQRT(IF(3/K_3^2*Ii^2*B3^2-(H2/Nm)^2&lt;0.0000000001,0,3/K_3^2*Ii^2*B3^2-(H2/Nm)^2))+B3^2/K_3*K_4)</f>
        <v>353190.14189088793</v>
      </c>
      <c r="J2" s="11">
        <f>SQRT(3)*SQRT((B3/SQRT(3)*K_1+SQRT(H2^2+I2^2)/SQRT(3)/B3/Nm*I2/SQRT(H2^2+I2^2)*K_2)^2+(SQRT(H2^2+I2^2)/SQRT(3)/B3/Nm*H2/SQRT(H2^2+I2^2)*K_2)^2)</f>
        <v>570.13694659839712</v>
      </c>
      <c r="K2" s="1">
        <f>Nm*(SQRT(Vi^2*B3^2/K_2^2-(H2/Nm)^2)-B3^2*K_1/K_2)</f>
        <v>3688181.760685944</v>
      </c>
      <c r="L2" s="1">
        <f>IF(ABS(I2)&lt;ABS(K2),I2,K2)</f>
        <v>353190.14189088793</v>
      </c>
      <c r="M2" s="13">
        <f t="shared" ref="M2:N44" si="0">H2/1000</f>
        <v>3750</v>
      </c>
      <c r="N2" s="13">
        <f>I2/1000</f>
        <v>353.1901418908879</v>
      </c>
      <c r="O2" s="13">
        <f>J2*1.43+10</f>
        <v>825.29583363570782</v>
      </c>
      <c r="P2" s="13">
        <f t="shared" ref="P2:P44" si="1">L2/1000</f>
        <v>353.1901418908879</v>
      </c>
      <c r="Q2" s="13">
        <f>SQRT(M2^2+P2^2)</f>
        <v>3766.5957144786466</v>
      </c>
      <c r="R2" s="9">
        <f>M2/SQRT(M2^2+P2^2)</f>
        <v>0.99559397510732217</v>
      </c>
      <c r="S2" s="10" t="s">
        <v>15</v>
      </c>
    </row>
    <row r="3" spans="1:19" ht="16.5" thickTop="1" thickBot="1">
      <c r="A3" s="21" t="s">
        <v>67</v>
      </c>
      <c r="B3" s="21">
        <f>$B$1*B2</f>
        <v>558</v>
      </c>
      <c r="F3" t="s">
        <v>21</v>
      </c>
      <c r="G3" s="15">
        <f>Capability!G3</f>
        <v>2846</v>
      </c>
      <c r="H3" s="1">
        <f>G3*1000</f>
        <v>2846000</v>
      </c>
      <c r="I3" s="8">
        <f>Nm*(-SQRT(IF(3/K_3^2*Ii^2*B3^2-(H3/Nm)^2&lt;0.0000000001,0,3/K_3^2*Ii^2*B3^2-(H3/Nm)^2))+B3^2/K_3*K_4)</f>
        <v>-1872166.7984607413</v>
      </c>
      <c r="J3" s="12">
        <f>SQRT(3)*SQRT((B3/SQRT(3)*K_1+SQRT(H3^2+I3^2)/SQRT(3)/B3/Nm*I3/SQRT(H3^2+I3^2)*K_2)^2+(SQRT(H3^2+I3^2)/SQRT(3)/B3/Nm*H3/SQRT(H3^2+I3^2)*K_2)^2)</f>
        <v>501.92492946101947</v>
      </c>
      <c r="K3" s="1">
        <f>Nm*(-SQRT(Vi^2*B3^2/K_2^2-(H3/Nm)^2)-B3^2*K_1/K_2)</f>
        <v>-41688189.003528357</v>
      </c>
      <c r="L3" s="1">
        <f>IF(ABS(I3)&lt;ABS(K3),I3,K3)</f>
        <v>-1872166.7984607413</v>
      </c>
      <c r="M3" s="13">
        <f t="shared" si="0"/>
        <v>2846</v>
      </c>
      <c r="N3" s="13">
        <f t="shared" si="0"/>
        <v>-1872.1667984607413</v>
      </c>
      <c r="O3" s="13">
        <f t="shared" ref="O3:O44" si="2">J3*1.43+10</f>
        <v>727.75264912925786</v>
      </c>
      <c r="P3" s="13">
        <f t="shared" si="1"/>
        <v>-1872.1667984607413</v>
      </c>
      <c r="Q3" s="13">
        <f>SQRT(M3^2+P3^2)</f>
        <v>3406.5707861805458</v>
      </c>
      <c r="R3" s="9">
        <f>M3/SQRT(M3^2+P3^2)</f>
        <v>0.83544425718243798</v>
      </c>
      <c r="S3" s="10" t="s">
        <v>16</v>
      </c>
    </row>
    <row r="4" spans="1:19" ht="16.5" thickTop="1" thickBot="1">
      <c r="A4" s="3" t="s">
        <v>11</v>
      </c>
      <c r="B4" s="6">
        <f>Nm</f>
        <v>3</v>
      </c>
      <c r="F4" s="16"/>
      <c r="H4" s="33">
        <f>'V_1,1pu_DIG'!H4</f>
        <v>0</v>
      </c>
      <c r="I4" s="8">
        <f t="shared" ref="I4:I36" si="3">Nm*(SQRT(IF(3/K_3^2*Ii^2*$B$3^2-(H4/Nm)^2&lt;0.0000000001,0,3/K_3^2*Ii^2*$B$3^2-(H4/Nm)^2))+$B$3^2/K_3*K_4)</f>
        <v>3965935.5677368836</v>
      </c>
      <c r="J4" s="12">
        <f t="shared" ref="J4:J35" si="4">SQRT(3)*SQRT(($B$3/SQRT(3)*K_1+SQRT(H4^2+I4^2)/SQRT(3)/$B$3/Nm*I4/SQRT(H4^2+I4^2)*K_2)^2+(SQRT(H4^2+I4^2)/SQRT(3)/$B$3/Nm*H4/SQRT(H4^2+I4^2)*K_2)^2)</f>
        <v>664.48660938507908</v>
      </c>
      <c r="K4" s="1">
        <f t="shared" ref="K4:K36" si="5">Nm*(SQRT(Vi^2*$B$3^2/K_2^2-(H4/Nm)^2)-$B$3^2*K_1/K_2)</f>
        <v>3996883.5938339029</v>
      </c>
      <c r="L4" s="1">
        <f>IF(ABS(I4)&lt;ABS(K4),I4,K4)</f>
        <v>3965935.5677368836</v>
      </c>
      <c r="M4" s="14">
        <f t="shared" si="0"/>
        <v>0</v>
      </c>
      <c r="N4" s="14">
        <f t="shared" si="0"/>
        <v>3965.9355677368835</v>
      </c>
      <c r="O4" s="14">
        <f t="shared" si="2"/>
        <v>960.21585142066306</v>
      </c>
      <c r="P4" s="14">
        <f t="shared" si="1"/>
        <v>3965.9355677368835</v>
      </c>
      <c r="Q4" s="14">
        <f t="shared" ref="Q4:Q44" si="6">SQRT(M4^2+P4^2)</f>
        <v>3965.9355677368835</v>
      </c>
      <c r="R4" s="7">
        <f>M4/SQRT(M4^2+P4^2)</f>
        <v>0</v>
      </c>
    </row>
    <row r="5" spans="1:19" ht="16.5" thickTop="1" thickBot="1">
      <c r="A5" s="3" t="s">
        <v>1</v>
      </c>
      <c r="B5" s="6">
        <f>Capability!B5</f>
        <v>50</v>
      </c>
      <c r="C5" s="1" t="s">
        <v>32</v>
      </c>
      <c r="D5" s="1">
        <f>2*PI()*B5</f>
        <v>314.15926535897933</v>
      </c>
      <c r="F5" s="16"/>
      <c r="H5" s="33">
        <f>'V_1,1pu_DIG'!H5</f>
        <v>221434.52849412672</v>
      </c>
      <c r="I5" s="8">
        <f t="shared" si="3"/>
        <v>3959143.0342012891</v>
      </c>
      <c r="J5" s="12">
        <f t="shared" si="4"/>
        <v>664.32058644508118</v>
      </c>
      <c r="K5" s="1">
        <f t="shared" si="5"/>
        <v>3995814.429799567</v>
      </c>
      <c r="L5" s="1">
        <f t="shared" ref="L5:L44" si="7">IF(ABS(I5)&lt;ABS(K5),I5,K5)</f>
        <v>3959143.0342012891</v>
      </c>
      <c r="M5" s="14">
        <f t="shared" si="0"/>
        <v>221.43452849412671</v>
      </c>
      <c r="N5" s="14">
        <f t="shared" si="0"/>
        <v>3959.1430342012891</v>
      </c>
      <c r="O5" s="14">
        <f t="shared" si="2"/>
        <v>959.97843861646606</v>
      </c>
      <c r="P5" s="14">
        <f t="shared" si="1"/>
        <v>3959.1430342012891</v>
      </c>
      <c r="Q5" s="14">
        <f t="shared" si="6"/>
        <v>3965.3306061000771</v>
      </c>
      <c r="R5" s="7">
        <f t="shared" ref="R5:R44" si="8">M5/SQRT(M5^2+P5^2)</f>
        <v>5.5842639741937858E-2</v>
      </c>
    </row>
    <row r="6" spans="1:19" ht="16.5" thickTop="1" thickBot="1">
      <c r="A6" s="3" t="s">
        <v>0</v>
      </c>
      <c r="B6" s="6">
        <f>Capability!B6</f>
        <v>2700</v>
      </c>
      <c r="F6" s="16"/>
      <c r="H6" s="33">
        <f>'V_1,1pu_DIG'!H6</f>
        <v>442869.05698825343</v>
      </c>
      <c r="I6" s="8">
        <f t="shared" si="3"/>
        <v>3938688.2258861228</v>
      </c>
      <c r="J6" s="12">
        <f t="shared" si="4"/>
        <v>663.82037972540127</v>
      </c>
      <c r="K6" s="1">
        <f t="shared" si="5"/>
        <v>3992606.638542803</v>
      </c>
      <c r="L6" s="1">
        <f t="shared" si="7"/>
        <v>3938688.2258861228</v>
      </c>
      <c r="M6" s="14">
        <f t="shared" si="0"/>
        <v>442.86905698825342</v>
      </c>
      <c r="N6" s="14">
        <f t="shared" si="0"/>
        <v>3938.6882258861228</v>
      </c>
      <c r="O6" s="14">
        <f t="shared" si="2"/>
        <v>959.26314300732372</v>
      </c>
      <c r="P6" s="14">
        <f t="shared" si="1"/>
        <v>3938.6882258861228</v>
      </c>
      <c r="Q6" s="14">
        <f t="shared" si="6"/>
        <v>3963.5082871581885</v>
      </c>
      <c r="R6" s="7">
        <f t="shared" si="8"/>
        <v>0.11173662949643733</v>
      </c>
    </row>
    <row r="7" spans="1:19" ht="16.5" thickTop="1" thickBot="1">
      <c r="A7" s="3" t="s">
        <v>43</v>
      </c>
      <c r="B7" s="6">
        <f>Capability!B7</f>
        <v>33</v>
      </c>
      <c r="C7" s="1" t="s">
        <v>40</v>
      </c>
      <c r="D7" s="1">
        <f>B7+aux!C6</f>
        <v>44.25</v>
      </c>
      <c r="F7" s="16"/>
      <c r="H7" s="33">
        <f>'V_1,1pu_DIG'!H7</f>
        <v>664303.58548238012</v>
      </c>
      <c r="I7" s="8">
        <f t="shared" si="3"/>
        <v>3904335.0640654843</v>
      </c>
      <c r="J7" s="12">
        <f t="shared" si="4"/>
        <v>662.9794502248119</v>
      </c>
      <c r="K7" s="1">
        <f t="shared" si="5"/>
        <v>3987259.3221836491</v>
      </c>
      <c r="L7" s="1">
        <f t="shared" si="7"/>
        <v>3904335.0640654843</v>
      </c>
      <c r="M7" s="14">
        <f t="shared" si="0"/>
        <v>664.30358548238007</v>
      </c>
      <c r="N7" s="14">
        <f t="shared" si="0"/>
        <v>3904.3350640654844</v>
      </c>
      <c r="O7" s="14">
        <f t="shared" si="2"/>
        <v>958.06061382148096</v>
      </c>
      <c r="P7" s="14">
        <f t="shared" si="1"/>
        <v>3904.3350640654844</v>
      </c>
      <c r="Q7" s="14">
        <f t="shared" si="6"/>
        <v>3960.4458771931195</v>
      </c>
      <c r="R7" s="7">
        <f t="shared" si="8"/>
        <v>0.16773454456425774</v>
      </c>
    </row>
    <row r="8" spans="1:19" ht="16.5" thickTop="1" thickBot="1">
      <c r="A8" s="3" t="s">
        <v>41</v>
      </c>
      <c r="B8" s="6">
        <f>Capability!B8</f>
        <v>951.5</v>
      </c>
      <c r="C8" s="1" t="s">
        <v>33</v>
      </c>
      <c r="D8" s="1">
        <f>IF(B8&gt;1250,1250,IF(B8&lt;B3*1.43,B3*1.43,B8))</f>
        <v>951.5</v>
      </c>
      <c r="F8" s="16"/>
      <c r="H8" s="33">
        <f>'V_1,1pu_DIG'!H8</f>
        <v>885738.11397650687</v>
      </c>
      <c r="I8" s="8">
        <f t="shared" si="3"/>
        <v>3855674.6180050233</v>
      </c>
      <c r="J8" s="12">
        <f t="shared" si="4"/>
        <v>661.78646457288733</v>
      </c>
      <c r="K8" s="1">
        <f t="shared" si="5"/>
        <v>3979770.98285856</v>
      </c>
      <c r="L8" s="1">
        <f t="shared" si="7"/>
        <v>3855674.6180050233</v>
      </c>
      <c r="M8" s="14">
        <f t="shared" si="0"/>
        <v>885.73811397650684</v>
      </c>
      <c r="N8" s="14">
        <f t="shared" si="0"/>
        <v>3855.6746180050231</v>
      </c>
      <c r="O8" s="14">
        <f t="shared" si="2"/>
        <v>956.3546443392288</v>
      </c>
      <c r="P8" s="14">
        <f t="shared" si="1"/>
        <v>3855.6746180050231</v>
      </c>
      <c r="Q8" s="14">
        <f t="shared" si="6"/>
        <v>3956.1039883297863</v>
      </c>
      <c r="R8" s="7">
        <f t="shared" si="8"/>
        <v>0.22389151462887949</v>
      </c>
    </row>
    <row r="9" spans="1:19" ht="16.5" thickTop="1" thickBot="1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H9" s="33">
        <f>'V_1,1pu_DIG'!H9</f>
        <v>1107172.6424706336</v>
      </c>
      <c r="I9" s="8">
        <f t="shared" si="3"/>
        <v>3792099.5986425136</v>
      </c>
      <c r="J9" s="12">
        <f t="shared" si="4"/>
        <v>660.22457725398954</v>
      </c>
      <c r="K9" s="1">
        <f t="shared" si="5"/>
        <v>3970139.5206201794</v>
      </c>
      <c r="L9" s="1">
        <f t="shared" si="7"/>
        <v>3792099.5986425136</v>
      </c>
      <c r="M9" s="14">
        <f t="shared" si="0"/>
        <v>1107.1726424706337</v>
      </c>
      <c r="N9" s="14">
        <f t="shared" si="0"/>
        <v>3792.0995986425137</v>
      </c>
      <c r="O9" s="14">
        <f t="shared" si="2"/>
        <v>954.12114547320505</v>
      </c>
      <c r="P9" s="14">
        <f t="shared" si="1"/>
        <v>3792.0995986425137</v>
      </c>
      <c r="Q9" s="14">
        <f t="shared" si="6"/>
        <v>3950.4241071383867</v>
      </c>
      <c r="R9" s="7">
        <f t="shared" si="8"/>
        <v>0.28026677957690188</v>
      </c>
    </row>
    <row r="10" spans="1:19" ht="16.5" thickTop="1" thickBot="1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1.1492499999999999</v>
      </c>
      <c r="F10" s="16"/>
      <c r="H10" s="33">
        <f>'V_1,1pu_DIG'!H10</f>
        <v>1328607.1709647602</v>
      </c>
      <c r="I10" s="8">
        <f t="shared" si="3"/>
        <v>3712763.4030703763</v>
      </c>
      <c r="J10" s="12">
        <f t="shared" si="4"/>
        <v>658.27027734522323</v>
      </c>
      <c r="K10" s="1">
        <f t="shared" si="5"/>
        <v>3958362.2304874118</v>
      </c>
      <c r="L10" s="1">
        <f t="shared" si="7"/>
        <v>3712763.4030703763</v>
      </c>
      <c r="M10" s="14">
        <f t="shared" si="0"/>
        <v>1328.6071709647601</v>
      </c>
      <c r="N10" s="14">
        <f t="shared" si="0"/>
        <v>3712.7634030703762</v>
      </c>
      <c r="O10" s="14">
        <f t="shared" si="2"/>
        <v>951.32649660366917</v>
      </c>
      <c r="P10" s="14">
        <f t="shared" si="1"/>
        <v>3712.7634030703762</v>
      </c>
      <c r="Q10" s="14">
        <f t="shared" si="6"/>
        <v>3943.3246254800915</v>
      </c>
      <c r="R10" s="7">
        <f t="shared" si="8"/>
        <v>0.33692563944136478</v>
      </c>
    </row>
    <row r="11" spans="1:19" ht="16.5" thickTop="1" thickBot="1">
      <c r="A11" s="21" t="s">
        <v>49</v>
      </c>
      <c r="B11" s="20">
        <f>B9*B10</f>
        <v>1.2004372301587298</v>
      </c>
      <c r="F11" s="16"/>
      <c r="H11" s="33">
        <f>'V_1,1pu_DIG'!H11</f>
        <v>1550041.6994588869</v>
      </c>
      <c r="I11" s="8">
        <f t="shared" si="3"/>
        <v>3616516.7026122892</v>
      </c>
      <c r="J11" s="12">
        <f t="shared" si="4"/>
        <v>655.89160148546887</v>
      </c>
      <c r="K11" s="1">
        <f t="shared" si="5"/>
        <v>3944435.7986360919</v>
      </c>
      <c r="L11" s="1">
        <f t="shared" si="7"/>
        <v>3616516.7026122892</v>
      </c>
      <c r="M11" s="14">
        <f t="shared" si="0"/>
        <v>1550.0416994588868</v>
      </c>
      <c r="N11" s="14">
        <f t="shared" si="0"/>
        <v>3616.516702612289</v>
      </c>
      <c r="O11" s="14">
        <f t="shared" si="2"/>
        <v>947.92499012422047</v>
      </c>
      <c r="P11" s="14">
        <f t="shared" si="1"/>
        <v>3616.516702612289</v>
      </c>
      <c r="Q11" s="14">
        <f t="shared" si="6"/>
        <v>3934.6946934082521</v>
      </c>
      <c r="R11" s="7">
        <f t="shared" si="8"/>
        <v>0.39394205147750178</v>
      </c>
    </row>
    <row r="12" spans="1:19" ht="16.5" thickTop="1" thickBot="1">
      <c r="A12" s="3" t="s">
        <v>44</v>
      </c>
      <c r="B12" s="6">
        <f>Capability!B12</f>
        <v>-5</v>
      </c>
      <c r="C12" s="1" t="s">
        <v>39</v>
      </c>
      <c r="D12" s="1">
        <f>B12+aux!C6</f>
        <v>6.25</v>
      </c>
      <c r="F12" s="16"/>
      <c r="H12" s="33">
        <f>'V_1,1pu_DIG'!H12</f>
        <v>1771476.2279530135</v>
      </c>
      <c r="I12" s="8">
        <f t="shared" si="3"/>
        <v>3501809.1226137904</v>
      </c>
      <c r="J12" s="12">
        <f t="shared" si="4"/>
        <v>653.04536051289494</v>
      </c>
      <c r="K12" s="1">
        <f t="shared" si="5"/>
        <v>3928356.2977176961</v>
      </c>
      <c r="L12" s="1">
        <f t="shared" si="7"/>
        <v>3501809.1226137904</v>
      </c>
      <c r="M12" s="14">
        <f t="shared" si="0"/>
        <v>1771.4762279530134</v>
      </c>
      <c r="N12" s="14">
        <f t="shared" si="0"/>
        <v>3501.8091226137904</v>
      </c>
      <c r="O12" s="14">
        <f t="shared" si="2"/>
        <v>943.85486553343969</v>
      </c>
      <c r="P12" s="14">
        <f t="shared" si="1"/>
        <v>3501.8091226137904</v>
      </c>
      <c r="Q12" s="14">
        <f t="shared" si="6"/>
        <v>3924.3846851989169</v>
      </c>
      <c r="R12" s="7">
        <f t="shared" si="8"/>
        <v>0.45140228852544867</v>
      </c>
    </row>
    <row r="13" spans="1:19" ht="16.5" thickTop="1" thickBot="1">
      <c r="A13" s="3" t="s">
        <v>42</v>
      </c>
      <c r="B13" s="19">
        <f>Capability!B13</f>
        <v>1130</v>
      </c>
      <c r="C13" s="1" t="s">
        <v>48</v>
      </c>
      <c r="D13" s="1">
        <f>IF(B13&gt;1250,1250,IF(B13&lt;B3*1.43,B3*1.43,B13))</f>
        <v>1130</v>
      </c>
      <c r="F13" s="16"/>
      <c r="H13" s="33">
        <f>'V_1,1pu_DIG'!H13</f>
        <v>1992910.7564471401</v>
      </c>
      <c r="I13" s="8">
        <f t="shared" si="3"/>
        <v>3366533.1739415787</v>
      </c>
      <c r="J13" s="12">
        <f t="shared" si="4"/>
        <v>649.6727326507704</v>
      </c>
      <c r="K13" s="1">
        <f t="shared" si="5"/>
        <v>3910119.1812906275</v>
      </c>
      <c r="L13" s="1">
        <f t="shared" si="7"/>
        <v>3366533.1739415787</v>
      </c>
      <c r="M13" s="14">
        <f t="shared" si="0"/>
        <v>1992.9107564471401</v>
      </c>
      <c r="N13" s="14">
        <f t="shared" si="0"/>
        <v>3366.5331739415788</v>
      </c>
      <c r="O13" s="14">
        <f t="shared" si="2"/>
        <v>939.03200769060163</v>
      </c>
      <c r="P13" s="14">
        <f t="shared" si="1"/>
        <v>3366.5331739415788</v>
      </c>
      <c r="Q13" s="14">
        <f t="shared" si="6"/>
        <v>3912.1910605710291</v>
      </c>
      <c r="R13" s="7">
        <f t="shared" si="8"/>
        <v>0.5094103855337403</v>
      </c>
    </row>
    <row r="14" spans="1:19" ht="16.5" thickTop="1" thickBot="1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H14" s="33">
        <f>'V_1,1pu_DIG'!H14</f>
        <v>2214345.2849412668</v>
      </c>
      <c r="I14" s="8">
        <f t="shared" si="3"/>
        <v>3207766.1999123842</v>
      </c>
      <c r="J14" s="12">
        <f t="shared" si="4"/>
        <v>645.69196903415127</v>
      </c>
      <c r="K14" s="1">
        <f t="shared" si="5"/>
        <v>3889719.2773454748</v>
      </c>
      <c r="L14" s="1">
        <f t="shared" si="7"/>
        <v>3207766.1999123842</v>
      </c>
      <c r="M14" s="14">
        <f t="shared" si="0"/>
        <v>2214.345284941267</v>
      </c>
      <c r="N14" s="14">
        <f t="shared" si="0"/>
        <v>3207.7661999123843</v>
      </c>
      <c r="O14" s="14">
        <f t="shared" si="2"/>
        <v>933.33951571883631</v>
      </c>
      <c r="P14" s="14">
        <f t="shared" si="1"/>
        <v>3207.7661999123843</v>
      </c>
      <c r="Q14" s="14">
        <f t="shared" si="6"/>
        <v>3897.8313244985293</v>
      </c>
      <c r="R14" s="7">
        <f t="shared" si="8"/>
        <v>0.56809674421356626</v>
      </c>
    </row>
    <row r="15" spans="1:19" ht="16.5" thickTop="1" thickBot="1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H15" s="33">
        <f>'V_1,1pu_DIG'!H15</f>
        <v>2435779.8134353934</v>
      </c>
      <c r="I15" s="8">
        <f t="shared" si="3"/>
        <v>3021317.9897332294</v>
      </c>
      <c r="J15" s="12">
        <f t="shared" si="4"/>
        <v>640.98559139500298</v>
      </c>
      <c r="K15" s="1">
        <f t="shared" si="5"/>
        <v>3867150.7809026688</v>
      </c>
      <c r="L15" s="1">
        <f t="shared" si="7"/>
        <v>3021317.9897332294</v>
      </c>
      <c r="M15" s="14">
        <f t="shared" si="0"/>
        <v>2435.7798134353934</v>
      </c>
      <c r="N15" s="14">
        <f t="shared" si="0"/>
        <v>3021.3179897332293</v>
      </c>
      <c r="O15" s="14">
        <f t="shared" si="2"/>
        <v>926.60939569485424</v>
      </c>
      <c r="P15" s="14">
        <f t="shared" si="1"/>
        <v>3021.3179897332293</v>
      </c>
      <c r="Q15" s="14">
        <f t="shared" si="6"/>
        <v>3880.9001139716288</v>
      </c>
      <c r="R15" s="7">
        <f t="shared" si="8"/>
        <v>0.62763269909120889</v>
      </c>
    </row>
    <row r="16" spans="1:19" ht="16.5" thickTop="1" thickBot="1">
      <c r="A16" s="21" t="s">
        <v>50</v>
      </c>
      <c r="B16" s="20">
        <f>B14*B15</f>
        <v>1.1831619047619049</v>
      </c>
      <c r="F16" s="16"/>
      <c r="H16" s="33">
        <f>'V_1,1pu_DIG'!H16</f>
        <v>2657214.34192952</v>
      </c>
      <c r="I16" s="8">
        <f t="shared" si="3"/>
        <v>2800870.9734159526</v>
      </c>
      <c r="J16" s="12">
        <f t="shared" si="4"/>
        <v>635.37603178027882</v>
      </c>
      <c r="K16" s="1">
        <f t="shared" si="5"/>
        <v>3842407.245657485</v>
      </c>
      <c r="L16" s="1">
        <f t="shared" si="7"/>
        <v>2800870.9734159526</v>
      </c>
      <c r="M16" s="14">
        <f t="shared" si="0"/>
        <v>2657.2143419295198</v>
      </c>
      <c r="N16" s="14">
        <f t="shared" si="0"/>
        <v>2800.8709734159524</v>
      </c>
      <c r="O16" s="14">
        <f t="shared" si="2"/>
        <v>918.5877254457987</v>
      </c>
      <c r="P16" s="14">
        <f t="shared" si="1"/>
        <v>2800.8709734159524</v>
      </c>
      <c r="Q16" s="14">
        <f t="shared" si="6"/>
        <v>3860.7857061328796</v>
      </c>
      <c r="R16" s="7">
        <f t="shared" si="8"/>
        <v>0.68825740255630352</v>
      </c>
    </row>
    <row r="17" spans="1:18" ht="16.5" thickTop="1" thickBot="1">
      <c r="A17" s="21"/>
      <c r="B17" s="20"/>
      <c r="F17" s="16"/>
      <c r="H17" s="33">
        <f>'V_1,1pu_DIG'!H17</f>
        <v>2878648.8704236466</v>
      </c>
      <c r="I17" s="8">
        <f t="shared" si="3"/>
        <v>2536149.1870357636</v>
      </c>
      <c r="J17" s="12">
        <f t="shared" si="4"/>
        <v>628.57369445035067</v>
      </c>
      <c r="K17" s="1">
        <f t="shared" si="5"/>
        <v>3815481.5746440869</v>
      </c>
      <c r="L17" s="1">
        <f t="shared" si="7"/>
        <v>2536149.1870357636</v>
      </c>
      <c r="M17" s="14">
        <f t="shared" si="0"/>
        <v>2878.6488704236467</v>
      </c>
      <c r="N17" s="14">
        <f t="shared" si="0"/>
        <v>2536.1491870357636</v>
      </c>
      <c r="O17" s="14">
        <f t="shared" si="2"/>
        <v>908.86038306400144</v>
      </c>
      <c r="P17" s="14">
        <f t="shared" si="1"/>
        <v>2536.1491870357636</v>
      </c>
      <c r="Q17" s="14">
        <f t="shared" si="6"/>
        <v>3836.4921501409985</v>
      </c>
      <c r="R17" s="7">
        <f t="shared" si="8"/>
        <v>0.75033357498668429</v>
      </c>
    </row>
    <row r="18" spans="1:18" ht="20.25" thickTop="1" thickBot="1">
      <c r="A18" s="23" t="s">
        <v>53</v>
      </c>
      <c r="B18" s="24">
        <f>MIN(B16,B11)</f>
        <v>1.1831619047619049</v>
      </c>
      <c r="F18" s="16"/>
      <c r="H18" s="33">
        <f>'V_1,1pu_DIG'!H18</f>
        <v>3100083.3989177733</v>
      </c>
      <c r="I18" s="8">
        <f t="shared" si="3"/>
        <v>2208294.5679881335</v>
      </c>
      <c r="J18" s="12">
        <f t="shared" si="4"/>
        <v>620.04564856516083</v>
      </c>
      <c r="K18" s="1">
        <f t="shared" si="5"/>
        <v>3786366.0098865777</v>
      </c>
      <c r="L18" s="1">
        <f t="shared" si="7"/>
        <v>2208294.5679881335</v>
      </c>
      <c r="M18" s="14">
        <f t="shared" si="0"/>
        <v>3100.0833989177731</v>
      </c>
      <c r="N18" s="14">
        <f t="shared" si="0"/>
        <v>2208.2945679881336</v>
      </c>
      <c r="O18" s="14">
        <f t="shared" si="2"/>
        <v>896.66527744817995</v>
      </c>
      <c r="P18" s="14">
        <f t="shared" si="1"/>
        <v>2208.2945679881336</v>
      </c>
      <c r="Q18" s="14">
        <f t="shared" si="6"/>
        <v>3806.1899557499059</v>
      </c>
      <c r="R18" s="7">
        <f t="shared" si="8"/>
        <v>0.81448467758015142</v>
      </c>
    </row>
    <row r="19" spans="1:18" ht="16.5" thickTop="1" thickBot="1">
      <c r="A19" s="21"/>
      <c r="B19" s="20"/>
      <c r="F19" s="16"/>
      <c r="H19" s="33">
        <f>'V_1,1pu_DIG'!H19</f>
        <v>3321517.9274118999</v>
      </c>
      <c r="I19" s="8">
        <f t="shared" si="3"/>
        <v>1774263.0358173465</v>
      </c>
      <c r="J19" s="12">
        <f t="shared" si="4"/>
        <v>608.57196615078885</v>
      </c>
      <c r="K19" s="1">
        <f t="shared" si="5"/>
        <v>3755052.1210012771</v>
      </c>
      <c r="L19" s="1">
        <f t="shared" si="7"/>
        <v>1774263.0358173465</v>
      </c>
      <c r="M19" s="14">
        <f t="shared" si="0"/>
        <v>3321.5179274119</v>
      </c>
      <c r="N19" s="14">
        <f t="shared" si="0"/>
        <v>1774.2630358173465</v>
      </c>
      <c r="O19" s="14">
        <f t="shared" si="2"/>
        <v>880.257911595628</v>
      </c>
      <c r="P19" s="14">
        <f t="shared" si="1"/>
        <v>1774.2630358173465</v>
      </c>
      <c r="Q19" s="14">
        <f t="shared" si="6"/>
        <v>3765.699226224318</v>
      </c>
      <c r="R19" s="7">
        <f t="shared" si="8"/>
        <v>0.88204546562849717</v>
      </c>
    </row>
    <row r="20" spans="1:18" ht="16.5" thickTop="1" thickBot="1">
      <c r="A20" s="21" t="s">
        <v>36</v>
      </c>
      <c r="B20" s="4">
        <f>(D8-10)/1.43</f>
        <v>658.39160839160843</v>
      </c>
      <c r="F20" s="16"/>
      <c r="H20" s="33">
        <f>'V_1,1pu_DIG'!H20</f>
        <v>3542952.4559060265</v>
      </c>
      <c r="I20" s="8">
        <f t="shared" si="3"/>
        <v>1059884.8476589601</v>
      </c>
      <c r="J20" s="12">
        <f t="shared" si="4"/>
        <v>589.20096929995736</v>
      </c>
      <c r="K20" s="1">
        <f t="shared" si="5"/>
        <v>3721530.7927104067</v>
      </c>
      <c r="L20" s="1">
        <f t="shared" si="7"/>
        <v>1059884.8476589601</v>
      </c>
      <c r="M20" s="14">
        <f t="shared" si="0"/>
        <v>3542.9524559060264</v>
      </c>
      <c r="N20" s="14">
        <f t="shared" si="0"/>
        <v>1059.8848476589601</v>
      </c>
      <c r="O20" s="14">
        <f t="shared" si="2"/>
        <v>852.55738609893899</v>
      </c>
      <c r="P20" s="14">
        <f t="shared" si="1"/>
        <v>1059.8848476589601</v>
      </c>
      <c r="Q20" s="14">
        <f t="shared" si="6"/>
        <v>3698.0897765072714</v>
      </c>
      <c r="R20" s="7">
        <f t="shared" si="8"/>
        <v>0.95804933628524092</v>
      </c>
    </row>
    <row r="21" spans="1:18" ht="16.5" thickTop="1" thickBot="1">
      <c r="A21" s="21" t="s">
        <v>34</v>
      </c>
      <c r="B21" s="5">
        <f>IF(B25=1,(IF(B9*B10&gt;B18,B18,B9*B10))*Ii_r,B26)</f>
        <v>1242.3200000000002</v>
      </c>
      <c r="F21" s="16"/>
      <c r="H21" s="33">
        <f>'V_1,1pu_DIG'!H21</f>
        <v>3598311.0880295583</v>
      </c>
      <c r="I21" s="8">
        <f t="shared" si="3"/>
        <v>675815.04132473539</v>
      </c>
      <c r="J21" s="12">
        <f t="shared" si="4"/>
        <v>578.51854289490302</v>
      </c>
      <c r="K21" s="1">
        <f t="shared" si="5"/>
        <v>3712804.413731466</v>
      </c>
      <c r="L21" s="1">
        <f t="shared" si="7"/>
        <v>675815.04132473539</v>
      </c>
      <c r="M21" s="14">
        <f t="shared" si="0"/>
        <v>3598.3110880295585</v>
      </c>
      <c r="N21" s="14">
        <f t="shared" si="0"/>
        <v>675.81504132473538</v>
      </c>
      <c r="O21" s="14">
        <f t="shared" si="2"/>
        <v>837.28151633971129</v>
      </c>
      <c r="P21" s="14">
        <f t="shared" si="1"/>
        <v>675.81504132473538</v>
      </c>
      <c r="Q21" s="14">
        <f t="shared" si="6"/>
        <v>3661.2250212623121</v>
      </c>
      <c r="R21" s="7">
        <f t="shared" si="8"/>
        <v>0.98281615228034735</v>
      </c>
    </row>
    <row r="22" spans="1:18" ht="20.25" thickTop="1" thickBot="1">
      <c r="A22" s="21" t="s">
        <v>59</v>
      </c>
      <c r="B22" s="1">
        <f>Nm*SQRT(3)*B3*Ii/K_3^2</f>
        <v>3623474.1026311638</v>
      </c>
      <c r="C22" s="25" t="s">
        <v>74</v>
      </c>
      <c r="D22" s="26">
        <f>B22/1000</f>
        <v>3623.474102631164</v>
      </c>
      <c r="F22" s="16"/>
      <c r="H22" s="33">
        <f>'V_1,1pu_DIG'!H22</f>
        <v>3653669.7201530901</v>
      </c>
      <c r="I22" s="8">
        <f t="shared" si="3"/>
        <v>353190.14189088793</v>
      </c>
      <c r="J22" s="12">
        <f t="shared" si="4"/>
        <v>569.61008814213267</v>
      </c>
      <c r="K22" s="1">
        <f t="shared" si="5"/>
        <v>3703939.2996602934</v>
      </c>
      <c r="L22" s="1">
        <f t="shared" si="7"/>
        <v>353190.14189088793</v>
      </c>
      <c r="M22" s="14">
        <f t="shared" si="0"/>
        <v>3653.6697201530901</v>
      </c>
      <c r="N22" s="14">
        <f t="shared" si="0"/>
        <v>353.1901418908879</v>
      </c>
      <c r="O22" s="14">
        <f t="shared" si="2"/>
        <v>824.54242604324963</v>
      </c>
      <c r="P22" s="14">
        <f t="shared" si="1"/>
        <v>353.1901418908879</v>
      </c>
      <c r="Q22" s="14">
        <f t="shared" si="6"/>
        <v>3670.700982141213</v>
      </c>
      <c r="R22" s="7">
        <f t="shared" si="8"/>
        <v>0.99536021537276287</v>
      </c>
    </row>
    <row r="23" spans="1:18" ht="20.25" thickTop="1" thickBot="1">
      <c r="A23" s="21" t="s">
        <v>51</v>
      </c>
      <c r="B23" s="1">
        <f>B3*Ii*SQRT(3)*Nm</f>
        <v>3602048.5153995119</v>
      </c>
      <c r="C23" s="25" t="s">
        <v>52</v>
      </c>
      <c r="D23" s="26">
        <f>B23/1000</f>
        <v>3602.0485153995119</v>
      </c>
      <c r="F23" s="16"/>
      <c r="H23" s="33">
        <f>'V_1,1pu_DIG'!H23</f>
        <v>3709028.3522766219</v>
      </c>
      <c r="I23" s="8">
        <f t="shared" si="3"/>
        <v>353190.14189088793</v>
      </c>
      <c r="J23" s="12">
        <f t="shared" si="4"/>
        <v>569.91124478651261</v>
      </c>
      <c r="K23" s="1">
        <f t="shared" si="5"/>
        <v>3694935.2874464225</v>
      </c>
      <c r="L23" s="1">
        <f t="shared" si="7"/>
        <v>353190.14189088793</v>
      </c>
      <c r="M23" s="14">
        <f t="shared" si="0"/>
        <v>3709.0283522766217</v>
      </c>
      <c r="N23" s="14">
        <f t="shared" si="0"/>
        <v>353.1901418908879</v>
      </c>
      <c r="O23" s="14">
        <f t="shared" si="2"/>
        <v>824.97308004471302</v>
      </c>
      <c r="P23" s="14">
        <f t="shared" si="1"/>
        <v>353.1901418908879</v>
      </c>
      <c r="Q23" s="14">
        <f t="shared" si="6"/>
        <v>3725.8065696330423</v>
      </c>
      <c r="R23" s="7">
        <f t="shared" si="8"/>
        <v>0.9954967556573735</v>
      </c>
    </row>
    <row r="24" spans="1:18" ht="16.5" thickTop="1" thickBot="1">
      <c r="A24" s="27"/>
      <c r="F24" s="16"/>
      <c r="H24" s="33">
        <f>'V_1,1pu_DIG'!H24</f>
        <v>3764386.9844001536</v>
      </c>
      <c r="I24" s="8">
        <f t="shared" si="3"/>
        <v>353190.14189088793</v>
      </c>
      <c r="J24" s="12">
        <f t="shared" si="4"/>
        <v>570.21676744247247</v>
      </c>
      <c r="K24" s="1">
        <f t="shared" si="5"/>
        <v>3685792.2112230789</v>
      </c>
      <c r="L24" s="1">
        <f t="shared" si="7"/>
        <v>353190.14189088793</v>
      </c>
      <c r="M24" s="14">
        <f t="shared" si="0"/>
        <v>3764.3869844001538</v>
      </c>
      <c r="N24" s="14">
        <f t="shared" si="0"/>
        <v>353.1901418908879</v>
      </c>
      <c r="O24" s="14">
        <f t="shared" si="2"/>
        <v>825.40997744273557</v>
      </c>
      <c r="P24" s="14">
        <f t="shared" si="1"/>
        <v>353.1901418908879</v>
      </c>
      <c r="Q24" s="14">
        <f t="shared" si="6"/>
        <v>3780.9195501425561</v>
      </c>
      <c r="R24" s="7">
        <f t="shared" si="8"/>
        <v>0.99562736907698046</v>
      </c>
    </row>
    <row r="25" spans="1:18" ht="16.5" thickTop="1" thickBot="1">
      <c r="A25" s="3" t="s">
        <v>38</v>
      </c>
      <c r="B25" s="6">
        <f>Capability!B25</f>
        <v>1</v>
      </c>
      <c r="F25" s="16"/>
      <c r="H25" s="33">
        <f>'V_1,1pu_DIG'!H25</f>
        <v>3819745.6165236854</v>
      </c>
      <c r="I25" s="8">
        <f t="shared" si="3"/>
        <v>353190.14189088793</v>
      </c>
      <c r="J25" s="12">
        <f t="shared" si="4"/>
        <v>570.52664909588543</v>
      </c>
      <c r="K25" s="1">
        <f t="shared" si="5"/>
        <v>3676509.9022913771</v>
      </c>
      <c r="L25" s="1">
        <f t="shared" si="7"/>
        <v>353190.14189088793</v>
      </c>
      <c r="M25" s="14">
        <f t="shared" si="0"/>
        <v>3819.7456165236854</v>
      </c>
      <c r="N25" s="14">
        <f t="shared" si="0"/>
        <v>353.1901418908879</v>
      </c>
      <c r="O25" s="14">
        <f t="shared" si="2"/>
        <v>825.85310820711618</v>
      </c>
      <c r="P25" s="14">
        <f t="shared" si="1"/>
        <v>353.1901418908879</v>
      </c>
      <c r="Q25" s="14">
        <f t="shared" si="6"/>
        <v>3836.039605019846</v>
      </c>
      <c r="R25" s="7">
        <f t="shared" si="8"/>
        <v>0.9957523930475487</v>
      </c>
    </row>
    <row r="26" spans="1:18" ht="16.5" thickTop="1" thickBot="1">
      <c r="A26" s="3" t="s">
        <v>25</v>
      </c>
      <c r="B26" s="6">
        <f>Capability!B26</f>
        <v>1250</v>
      </c>
      <c r="F26" s="16"/>
      <c r="H26" s="33">
        <f>'V_1,1pu_DIG'!H26</f>
        <v>3875104.2486472172</v>
      </c>
      <c r="I26" s="8">
        <f t="shared" si="3"/>
        <v>353190.14189088793</v>
      </c>
      <c r="J26" s="12">
        <f t="shared" si="4"/>
        <v>570.84088264789057</v>
      </c>
      <c r="K26" s="1">
        <f t="shared" si="5"/>
        <v>3667088.1891041966</v>
      </c>
      <c r="L26" s="1">
        <f t="shared" si="7"/>
        <v>353190.14189088793</v>
      </c>
      <c r="M26" s="14">
        <f t="shared" si="0"/>
        <v>3875.104248647217</v>
      </c>
      <c r="N26" s="14">
        <f t="shared" si="0"/>
        <v>353.1901418908879</v>
      </c>
      <c r="O26" s="14">
        <f t="shared" si="2"/>
        <v>826.30246218648347</v>
      </c>
      <c r="P26" s="14">
        <f t="shared" si="1"/>
        <v>353.1901418908879</v>
      </c>
      <c r="Q26" s="14">
        <f t="shared" si="6"/>
        <v>3891.1664336304889</v>
      </c>
      <c r="R26" s="7">
        <f t="shared" si="8"/>
        <v>0.99587214135986324</v>
      </c>
    </row>
    <row r="27" spans="1:18" ht="16.5" thickTop="1" thickBot="1">
      <c r="A27" s="27"/>
      <c r="F27" s="16"/>
      <c r="H27" s="33">
        <f>'V_1,1pu_DIG'!H27</f>
        <v>3930462.8807707489</v>
      </c>
      <c r="I27" s="8">
        <f t="shared" si="3"/>
        <v>353190.14189088793</v>
      </c>
      <c r="J27" s="12">
        <f t="shared" si="4"/>
        <v>571.15946091566445</v>
      </c>
      <c r="K27" s="1">
        <f t="shared" si="5"/>
        <v>3657526.8972497592</v>
      </c>
      <c r="L27" s="1">
        <f t="shared" si="7"/>
        <v>353190.14189088793</v>
      </c>
      <c r="M27" s="14">
        <f t="shared" si="0"/>
        <v>3930.4628807707491</v>
      </c>
      <c r="N27" s="14">
        <f t="shared" si="0"/>
        <v>353.1901418908879</v>
      </c>
      <c r="O27" s="14">
        <f t="shared" si="2"/>
        <v>826.75802910940013</v>
      </c>
      <c r="P27" s="14">
        <f t="shared" si="1"/>
        <v>353.1901418908879</v>
      </c>
      <c r="Q27" s="14">
        <f t="shared" si="6"/>
        <v>3946.2997521026709</v>
      </c>
      <c r="R27" s="7">
        <f t="shared" si="8"/>
        <v>0.99598690613314822</v>
      </c>
    </row>
    <row r="28" spans="1:18" ht="16.5" thickTop="1" thickBot="1">
      <c r="A28" s="27" t="s">
        <v>73</v>
      </c>
      <c r="F28" s="16"/>
      <c r="H28" s="33">
        <f>'V_1,1pu_DIG'!H28</f>
        <v>3985821.5128942807</v>
      </c>
      <c r="I28" s="8">
        <f t="shared" si="3"/>
        <v>353190.14189088793</v>
      </c>
      <c r="J28" s="12">
        <f t="shared" si="4"/>
        <v>571.48237663319799</v>
      </c>
      <c r="K28" s="1">
        <f t="shared" si="5"/>
        <v>3647825.8494348787</v>
      </c>
      <c r="L28" s="1">
        <f t="shared" si="7"/>
        <v>353190.14189088793</v>
      </c>
      <c r="M28" s="14">
        <f t="shared" si="0"/>
        <v>3985.8215128942807</v>
      </c>
      <c r="N28" s="14">
        <f t="shared" si="0"/>
        <v>353.1901418908879</v>
      </c>
      <c r="O28" s="14">
        <f t="shared" si="2"/>
        <v>827.21979858547309</v>
      </c>
      <c r="P28" s="14">
        <f t="shared" si="1"/>
        <v>353.1901418908879</v>
      </c>
      <c r="Q28" s="14">
        <f t="shared" si="6"/>
        <v>4001.4392921772233</v>
      </c>
      <c r="R28" s="7">
        <f t="shared" si="8"/>
        <v>0.99609695958314914</v>
      </c>
    </row>
    <row r="29" spans="1:18" ht="16.5" thickTop="1" thickBot="1">
      <c r="A29" s="3" t="s">
        <v>54</v>
      </c>
      <c r="B29" s="6">
        <f>Capability!B29</f>
        <v>2846</v>
      </c>
      <c r="C29" s="2">
        <f>IF(B29&gt;D23,D23,B29)</f>
        <v>2846</v>
      </c>
      <c r="F29" s="16"/>
      <c r="H29" s="33">
        <f>'V_1,1pu_DIG'!H29</f>
        <v>4041180.1450178125</v>
      </c>
      <c r="I29" s="8">
        <f t="shared" si="3"/>
        <v>353190.14189088793</v>
      </c>
      <c r="J29" s="12">
        <f t="shared" si="4"/>
        <v>571.80962245208048</v>
      </c>
      <c r="K29" s="1">
        <f t="shared" si="5"/>
        <v>3637984.865467879</v>
      </c>
      <c r="L29" s="1">
        <f t="shared" si="7"/>
        <v>353190.14189088793</v>
      </c>
      <c r="M29" s="14">
        <f t="shared" si="0"/>
        <v>4041.1801450178127</v>
      </c>
      <c r="N29" s="14">
        <f t="shared" si="0"/>
        <v>353.1901418908879</v>
      </c>
      <c r="O29" s="14">
        <f t="shared" si="2"/>
        <v>827.68776010647503</v>
      </c>
      <c r="P29" s="14">
        <f t="shared" si="1"/>
        <v>353.1901418908879</v>
      </c>
      <c r="Q29" s="14">
        <f t="shared" si="6"/>
        <v>4056.5848001508725</v>
      </c>
      <c r="R29" s="7">
        <f t="shared" si="8"/>
        <v>0.99620255562450288</v>
      </c>
    </row>
    <row r="30" spans="1:18" ht="16.5" thickTop="1" thickBot="1">
      <c r="A30" s="27"/>
      <c r="B30" s="1" t="s">
        <v>69</v>
      </c>
      <c r="C30" s="1">
        <f xml:space="preserve"> Nm/1000*(-SQRT(3/K_3^2*Ii^2*B3^2-($C$29*1000/Nm)^2)+B3^2*K_4/K_3)</f>
        <v>-1872.1667984607413</v>
      </c>
      <c r="F30" s="16"/>
      <c r="H30" s="33">
        <f>'V_1,1pu_DIG'!H30</f>
        <v>4096538.7771413443</v>
      </c>
      <c r="I30" s="8">
        <f t="shared" si="3"/>
        <v>353190.14189088793</v>
      </c>
      <c r="J30" s="12">
        <f t="shared" si="4"/>
        <v>572.14119094228795</v>
      </c>
      <c r="K30" s="1">
        <f t="shared" si="5"/>
        <v>3628003.7622412043</v>
      </c>
      <c r="L30" s="1">
        <f t="shared" si="7"/>
        <v>353190.14189088793</v>
      </c>
      <c r="M30" s="14">
        <f t="shared" si="0"/>
        <v>4096.5387771413443</v>
      </c>
      <c r="N30" s="14">
        <f t="shared" si="0"/>
        <v>353.1901418908879</v>
      </c>
      <c r="O30" s="14">
        <f t="shared" si="2"/>
        <v>828.1619030474717</v>
      </c>
      <c r="P30" s="14">
        <f t="shared" si="1"/>
        <v>353.1901418908879</v>
      </c>
      <c r="Q30" s="14">
        <f t="shared" si="6"/>
        <v>4111.7360359040085</v>
      </c>
      <c r="R30" s="7">
        <f t="shared" si="8"/>
        <v>0.9963039313248806</v>
      </c>
    </row>
    <row r="31" spans="1:18" ht="16.5" thickTop="1" thickBot="1">
      <c r="A31" s="27"/>
      <c r="B31" s="1" t="s">
        <v>68</v>
      </c>
      <c r="C31" s="1">
        <f>IF(ABS( Nm/1000*(SQRT(3/K_3^2*Ii^2*B3^2-($C$29*1000/Nm)^2)+B3^2*K_4/K_3))&lt;ABS(Nm/1000*(SQRT(Vi^2*B3^2/K_2^2-($C$29*1000/Nm)^2)-B3^2*K_1/K_2)),Nm/1000*(SQRT(3/K_3^2*Ii^2*B3^2-($C$29*1000/Nm)^2)+B3^2*K_4/K_3), Nm/1000*(SQRT(Vi^2*B3^2/K_2^2-($C$29*1000/Nm)^2)-B3^2*K_1/K_2))</f>
        <v>2578.5470822425177</v>
      </c>
      <c r="F31" s="16"/>
      <c r="H31" s="33">
        <f>'V_1,1pu_DIG'!H31</f>
        <v>4151897.409264876</v>
      </c>
      <c r="I31" s="8">
        <f t="shared" si="3"/>
        <v>353190.14189088793</v>
      </c>
      <c r="J31" s="12">
        <f t="shared" si="4"/>
        <v>572.47707459297851</v>
      </c>
      <c r="K31" s="1">
        <f t="shared" si="5"/>
        <v>3617882.3537136884</v>
      </c>
      <c r="L31" s="1">
        <f t="shared" si="7"/>
        <v>353190.14189088793</v>
      </c>
      <c r="M31" s="14">
        <f t="shared" si="0"/>
        <v>4151.8974092648759</v>
      </c>
      <c r="N31" s="14">
        <f t="shared" si="0"/>
        <v>353.1901418908879</v>
      </c>
      <c r="O31" s="14">
        <f t="shared" si="2"/>
        <v>828.64221666795925</v>
      </c>
      <c r="P31" s="14">
        <f t="shared" si="1"/>
        <v>353.1901418908879</v>
      </c>
      <c r="Q31" s="14">
        <f t="shared" si="6"/>
        <v>4166.8927720052143</v>
      </c>
      <c r="R31" s="7">
        <f t="shared" si="8"/>
        <v>0.99640130822633999</v>
      </c>
    </row>
    <row r="32" spans="1:18" ht="16.5" thickTop="1" thickBot="1">
      <c r="A32" s="3" t="s">
        <v>55</v>
      </c>
      <c r="B32" s="6">
        <f>Capability!B32</f>
        <v>0</v>
      </c>
      <c r="C32" s="2">
        <f>IF(B32&lt;C30,C30,IF(B32&gt;C31,C31,B32))</f>
        <v>0</v>
      </c>
      <c r="F32" s="16"/>
      <c r="H32" s="33">
        <f>'V_1,1pu_DIG'!H32</f>
        <v>4207256.0413884073</v>
      </c>
      <c r="I32" s="8">
        <f t="shared" si="3"/>
        <v>353190.14189088793</v>
      </c>
      <c r="J32" s="12">
        <f t="shared" si="4"/>
        <v>572.81726581329258</v>
      </c>
      <c r="K32" s="1">
        <f t="shared" si="5"/>
        <v>3607620.4508924838</v>
      </c>
      <c r="L32" s="1">
        <f t="shared" si="7"/>
        <v>353190.14189088793</v>
      </c>
      <c r="M32" s="14">
        <f t="shared" si="0"/>
        <v>4207.2560413884075</v>
      </c>
      <c r="N32" s="14">
        <f t="shared" si="0"/>
        <v>353.1901418908879</v>
      </c>
      <c r="O32" s="14">
        <f t="shared" si="2"/>
        <v>829.12869011300836</v>
      </c>
      <c r="P32" s="14">
        <f t="shared" si="1"/>
        <v>353.1901418908879</v>
      </c>
      <c r="Q32" s="14">
        <f t="shared" si="6"/>
        <v>4222.0547928855876</v>
      </c>
      <c r="R32" s="7">
        <f t="shared" si="8"/>
        <v>0.99649489354754073</v>
      </c>
    </row>
    <row r="33" spans="1:18" ht="16.5" thickTop="1" thickBot="1">
      <c r="A33" s="21" t="s">
        <v>56</v>
      </c>
      <c r="B33" s="1">
        <f>C29/SQRT(C29^2+C32^2)</f>
        <v>1</v>
      </c>
      <c r="C33" s="1" t="s">
        <v>60</v>
      </c>
      <c r="D33" s="1">
        <f>SQRT(C29^2+C32^2)/(SQRT(3)*B3)*1000</f>
        <v>2944.6933084474463</v>
      </c>
      <c r="F33" s="16"/>
      <c r="H33" s="33">
        <f>'V_1,1pu_DIG'!H33</f>
        <v>4262614.6735119391</v>
      </c>
      <c r="I33" s="8">
        <f t="shared" si="3"/>
        <v>353190.14189088793</v>
      </c>
      <c r="J33" s="12">
        <f t="shared" si="4"/>
        <v>573.16175693315768</v>
      </c>
      <c r="K33" s="1">
        <f t="shared" si="5"/>
        <v>3597217.8618146488</v>
      </c>
      <c r="L33" s="1">
        <f t="shared" si="7"/>
        <v>353190.14189088793</v>
      </c>
      <c r="M33" s="14">
        <f t="shared" si="0"/>
        <v>4262.6146735119391</v>
      </c>
      <c r="N33" s="14">
        <f t="shared" si="0"/>
        <v>353.1901418908879</v>
      </c>
      <c r="O33" s="14">
        <f t="shared" si="2"/>
        <v>829.62131241441546</v>
      </c>
      <c r="P33" s="14">
        <f t="shared" si="1"/>
        <v>353.1901418908879</v>
      </c>
      <c r="Q33" s="14">
        <f t="shared" si="6"/>
        <v>4277.2218940765979</v>
      </c>
      <c r="R33" s="7">
        <f t="shared" si="8"/>
        <v>0.99658488127892364</v>
      </c>
    </row>
    <row r="34" spans="1:18" ht="20.25" thickTop="1" thickBot="1">
      <c r="A34" s="23" t="s">
        <v>57</v>
      </c>
      <c r="B34" s="25">
        <f>Vdc_offset+Vac_to_Vdc*SQRT(3)*SQRT(K_1^2*B3^2/3+K_2^2/3*($C$29^2+$C$32^2)*1000^2/B3^2/Nm^2+2/3*K_1*K_2*$C$32*1000/Nm)</f>
        <v>804.47997262319791</v>
      </c>
      <c r="F34" s="16"/>
      <c r="H34" s="33">
        <f>'V_1,1pu_DIG'!H34</f>
        <v>4317973.3056354709</v>
      </c>
      <c r="I34" s="8">
        <f t="shared" si="3"/>
        <v>353190.14189088793</v>
      </c>
      <c r="J34" s="12">
        <f t="shared" si="4"/>
        <v>573.51054020409981</v>
      </c>
      <c r="K34" s="1">
        <f t="shared" si="5"/>
        <v>3586674.391528409</v>
      </c>
      <c r="L34" s="1">
        <f t="shared" si="7"/>
        <v>353190.14189088793</v>
      </c>
      <c r="M34" s="14">
        <f t="shared" si="0"/>
        <v>4317.9733056354708</v>
      </c>
      <c r="N34" s="14">
        <f t="shared" si="0"/>
        <v>353.1901418908879</v>
      </c>
      <c r="O34" s="14">
        <f t="shared" si="2"/>
        <v>830.12007249186274</v>
      </c>
      <c r="P34" s="14">
        <f t="shared" si="1"/>
        <v>353.1901418908879</v>
      </c>
      <c r="Q34" s="14">
        <f t="shared" si="6"/>
        <v>4332.3938815058609</v>
      </c>
      <c r="R34" s="7">
        <f t="shared" si="8"/>
        <v>0.9966714531815889</v>
      </c>
    </row>
    <row r="35" spans="1:18" ht="16.5" thickTop="1" thickBot="1">
      <c r="A35" s="21" t="s">
        <v>58</v>
      </c>
      <c r="B35" s="1">
        <f>SQRT(3)*SQRT(K_1^2*B3^2/3+K_2^2/3*($C$29^2+$C$32^2)*1000^2/B3^2/Nm^2+2/3*K_1*K_2*$C$32*1000/Nm)</f>
        <v>555.58040043580274</v>
      </c>
      <c r="F35" s="16"/>
      <c r="H35" s="33">
        <f>'V_1,1pu_DIG'!H35</f>
        <v>4373331.9377590027</v>
      </c>
      <c r="I35" s="8">
        <f t="shared" si="3"/>
        <v>353190.14189088793</v>
      </c>
      <c r="J35" s="12">
        <f t="shared" si="4"/>
        <v>573.86360780005828</v>
      </c>
      <c r="K35" s="1">
        <f t="shared" si="5"/>
        <v>3575989.8420740543</v>
      </c>
      <c r="L35" s="1">
        <f t="shared" si="7"/>
        <v>353190.14189088793</v>
      </c>
      <c r="M35" s="14">
        <f t="shared" si="0"/>
        <v>4373.3319377590024</v>
      </c>
      <c r="N35" s="14">
        <f t="shared" si="0"/>
        <v>353.1901418908879</v>
      </c>
      <c r="O35" s="14">
        <f t="shared" si="2"/>
        <v>830.62495915408329</v>
      </c>
      <c r="P35" s="14">
        <f t="shared" si="1"/>
        <v>353.1901418908879</v>
      </c>
      <c r="Q35" s="14">
        <f t="shared" si="6"/>
        <v>4387.5705708457626</v>
      </c>
      <c r="R35" s="7">
        <f t="shared" si="8"/>
        <v>0.99675477969941451</v>
      </c>
    </row>
    <row r="36" spans="1:18" ht="16.5" thickTop="1" thickBot="1">
      <c r="F36" s="16"/>
      <c r="H36" s="33">
        <f>'V_1,1pu_DIG'!H36</f>
        <v>4428690.5698825344</v>
      </c>
      <c r="I36" s="8">
        <f t="shared" si="3"/>
        <v>353190.14189088793</v>
      </c>
      <c r="J36" s="12">
        <f t="shared" ref="J36:J67" si="9">SQRT(3)*SQRT(($B$3/SQRT(3)*K_1+SQRT(H36^2+I36^2)/SQRT(3)/$B$3/Nm*I36/SQRT(H36^2+I36^2)*K_2)^2+(SQRT(H36^2+I36^2)/SQRT(3)/$B$3/Nm*H36/SQRT(H36^2+I36^2)*K_2)^2)</f>
        <v>574.22095181820566</v>
      </c>
      <c r="K36" s="1">
        <f t="shared" si="5"/>
        <v>3565164.0124644851</v>
      </c>
      <c r="L36" s="1">
        <f t="shared" si="7"/>
        <v>353190.14189088793</v>
      </c>
      <c r="M36" s="14">
        <f t="shared" si="0"/>
        <v>4428.6905698825349</v>
      </c>
      <c r="N36" s="14">
        <f t="shared" si="0"/>
        <v>353.1901418908879</v>
      </c>
      <c r="O36" s="14">
        <f t="shared" si="2"/>
        <v>831.13596110003402</v>
      </c>
      <c r="P36" s="14">
        <f t="shared" si="1"/>
        <v>353.1901418908879</v>
      </c>
      <c r="Q36" s="14">
        <f t="shared" si="6"/>
        <v>4442.7517869103831</v>
      </c>
      <c r="R36" s="7">
        <f t="shared" si="8"/>
        <v>0.99683502079290665</v>
      </c>
    </row>
    <row r="37" spans="1:18" ht="16.5" thickTop="1" thickBot="1">
      <c r="F37" s="16"/>
      <c r="H37" s="33">
        <f>'V_1,1pu_DIG'!H37</f>
        <v>4373331.9377590027</v>
      </c>
      <c r="I37" s="8">
        <f t="shared" ref="I37:I68" si="10">Nm*(-SQRT(IF(3/K_3^2*Ii^2*$B$3^2-(H37/Nm)^2&lt;0.0000000001,0,3/K_3^2*Ii^2*$B$3^2-(H37/Nm)^2))+$B$3^2/K_3*K_4)</f>
        <v>353190.14189088793</v>
      </c>
      <c r="J37" s="12">
        <f t="shared" si="9"/>
        <v>573.86360780005828</v>
      </c>
      <c r="K37" s="1">
        <f t="shared" ref="K37:K68" si="11">Nm*(-SQRT(Vi^2*$B$3^2/K_2^2-(H37/Nm)^2)-$B$3^2*K_1/K_2)</f>
        <v>-41444589.837056473</v>
      </c>
      <c r="L37" s="1">
        <f t="shared" si="7"/>
        <v>353190.14189088793</v>
      </c>
      <c r="M37" s="14">
        <f t="shared" si="0"/>
        <v>4373.3319377590024</v>
      </c>
      <c r="N37" s="14">
        <f t="shared" si="0"/>
        <v>353.1901418908879</v>
      </c>
      <c r="O37" s="14">
        <f t="shared" si="2"/>
        <v>830.62495915408329</v>
      </c>
      <c r="P37" s="14">
        <f t="shared" si="1"/>
        <v>353.1901418908879</v>
      </c>
      <c r="Q37" s="14">
        <f t="shared" si="6"/>
        <v>4387.5705708457626</v>
      </c>
      <c r="R37" s="7">
        <f t="shared" si="8"/>
        <v>0.99675477969941451</v>
      </c>
    </row>
    <row r="38" spans="1:18" ht="16.5" thickTop="1" thickBot="1">
      <c r="F38" s="16"/>
      <c r="H38" s="33">
        <f>'V_1,1pu_DIG'!H38</f>
        <v>4317973.3056354709</v>
      </c>
      <c r="I38" s="8">
        <f t="shared" si="10"/>
        <v>353190.14189088793</v>
      </c>
      <c r="J38" s="12">
        <f t="shared" si="9"/>
        <v>573.51054020409981</v>
      </c>
      <c r="K38" s="1">
        <f t="shared" si="11"/>
        <v>-41455274.386510827</v>
      </c>
      <c r="L38" s="1">
        <f t="shared" si="7"/>
        <v>353190.14189088793</v>
      </c>
      <c r="M38" s="14">
        <f t="shared" si="0"/>
        <v>4317.9733056354708</v>
      </c>
      <c r="N38" s="14">
        <f t="shared" si="0"/>
        <v>353.1901418908879</v>
      </c>
      <c r="O38" s="14">
        <f t="shared" si="2"/>
        <v>830.12007249186274</v>
      </c>
      <c r="P38" s="14">
        <f t="shared" si="1"/>
        <v>353.1901418908879</v>
      </c>
      <c r="Q38" s="14">
        <f t="shared" si="6"/>
        <v>4332.3938815058609</v>
      </c>
      <c r="R38" s="7">
        <f t="shared" si="8"/>
        <v>0.9966714531815889</v>
      </c>
    </row>
    <row r="39" spans="1:18" ht="16.5" thickTop="1" thickBot="1">
      <c r="F39" s="16"/>
      <c r="H39" s="33">
        <f>'V_1,1pu_DIG'!H39</f>
        <v>4262614.6735119391</v>
      </c>
      <c r="I39" s="8">
        <f t="shared" si="10"/>
        <v>353190.14189088793</v>
      </c>
      <c r="J39" s="12">
        <f t="shared" si="9"/>
        <v>573.16175693315768</v>
      </c>
      <c r="K39" s="1">
        <f t="shared" si="11"/>
        <v>-41465817.856797069</v>
      </c>
      <c r="L39" s="1">
        <f t="shared" si="7"/>
        <v>353190.14189088793</v>
      </c>
      <c r="M39" s="14">
        <f t="shared" si="0"/>
        <v>4262.6146735119391</v>
      </c>
      <c r="N39" s="14">
        <f t="shared" si="0"/>
        <v>353.1901418908879</v>
      </c>
      <c r="O39" s="14">
        <f t="shared" si="2"/>
        <v>829.62131241441546</v>
      </c>
      <c r="P39" s="14">
        <f t="shared" si="1"/>
        <v>353.1901418908879</v>
      </c>
      <c r="Q39" s="14">
        <f t="shared" si="6"/>
        <v>4277.2218940765979</v>
      </c>
      <c r="R39" s="7">
        <f t="shared" si="8"/>
        <v>0.99658488127892364</v>
      </c>
    </row>
    <row r="40" spans="1:18" ht="16.5" thickTop="1" thickBot="1">
      <c r="F40" s="16"/>
      <c r="H40" s="33">
        <f>'V_1,1pu_DIG'!H40</f>
        <v>4207256.0413884073</v>
      </c>
      <c r="I40" s="8">
        <f t="shared" si="10"/>
        <v>353190.14189088793</v>
      </c>
      <c r="J40" s="12">
        <f t="shared" si="9"/>
        <v>572.81726581329258</v>
      </c>
      <c r="K40" s="1">
        <f t="shared" si="11"/>
        <v>-41476220.4458749</v>
      </c>
      <c r="L40" s="1">
        <f t="shared" si="7"/>
        <v>353190.14189088793</v>
      </c>
      <c r="M40" s="14">
        <f t="shared" si="0"/>
        <v>4207.2560413884075</v>
      </c>
      <c r="N40" s="14">
        <f t="shared" si="0"/>
        <v>353.1901418908879</v>
      </c>
      <c r="O40" s="14">
        <f t="shared" si="2"/>
        <v>829.12869011300836</v>
      </c>
      <c r="P40" s="14">
        <f t="shared" si="1"/>
        <v>353.1901418908879</v>
      </c>
      <c r="Q40" s="14">
        <f t="shared" si="6"/>
        <v>4222.0547928855876</v>
      </c>
      <c r="R40" s="7">
        <f t="shared" si="8"/>
        <v>0.99649489354754073</v>
      </c>
    </row>
    <row r="41" spans="1:18" ht="16.5" thickTop="1" thickBot="1">
      <c r="F41" s="16"/>
      <c r="H41" s="33">
        <f>'V_1,1pu_DIG'!H41</f>
        <v>4151897.4092648756</v>
      </c>
      <c r="I41" s="8">
        <f t="shared" si="10"/>
        <v>353190.14189088793</v>
      </c>
      <c r="J41" s="12">
        <f t="shared" si="9"/>
        <v>572.47707459297851</v>
      </c>
      <c r="K41" s="1">
        <f t="shared" si="11"/>
        <v>-41486482.348696113</v>
      </c>
      <c r="L41" s="1">
        <f t="shared" si="7"/>
        <v>353190.14189088793</v>
      </c>
      <c r="M41" s="14">
        <f t="shared" si="0"/>
        <v>4151.8974092648759</v>
      </c>
      <c r="N41" s="14">
        <f t="shared" si="0"/>
        <v>353.1901418908879</v>
      </c>
      <c r="O41" s="14">
        <f t="shared" si="2"/>
        <v>828.64221666795925</v>
      </c>
      <c r="P41" s="14">
        <f t="shared" si="1"/>
        <v>353.1901418908879</v>
      </c>
      <c r="Q41" s="14">
        <f t="shared" si="6"/>
        <v>4166.8927720052143</v>
      </c>
      <c r="R41" s="7">
        <f t="shared" si="8"/>
        <v>0.99640130822633999</v>
      </c>
    </row>
    <row r="42" spans="1:18" ht="16.5" thickTop="1" thickBot="1">
      <c r="F42" s="16"/>
      <c r="H42" s="33">
        <f>'V_1,1pu_DIG'!H42</f>
        <v>4096538.7771413438</v>
      </c>
      <c r="I42" s="8">
        <f t="shared" si="10"/>
        <v>353190.14189088793</v>
      </c>
      <c r="J42" s="12">
        <f t="shared" si="9"/>
        <v>572.14119094228795</v>
      </c>
      <c r="K42" s="1">
        <f t="shared" si="11"/>
        <v>-41496603.757223621</v>
      </c>
      <c r="L42" s="1">
        <f t="shared" si="7"/>
        <v>353190.14189088793</v>
      </c>
      <c r="M42" s="14">
        <f t="shared" si="0"/>
        <v>4096.5387771413434</v>
      </c>
      <c r="N42" s="14">
        <f t="shared" si="0"/>
        <v>353.1901418908879</v>
      </c>
      <c r="O42" s="14">
        <f t="shared" si="2"/>
        <v>828.1619030474717</v>
      </c>
      <c r="P42" s="14">
        <f t="shared" si="1"/>
        <v>353.1901418908879</v>
      </c>
      <c r="Q42" s="14">
        <f t="shared" si="6"/>
        <v>4111.7360359040076</v>
      </c>
      <c r="R42" s="7">
        <f t="shared" si="8"/>
        <v>0.9963039313248806</v>
      </c>
    </row>
    <row r="43" spans="1:18" ht="16.5" thickTop="1" thickBot="1">
      <c r="F43" s="16"/>
      <c r="H43" s="33">
        <f>'V_1,1pu_DIG'!H43</f>
        <v>4041180.145017812</v>
      </c>
      <c r="I43" s="8">
        <f t="shared" si="10"/>
        <v>353190.14189088793</v>
      </c>
      <c r="J43" s="12">
        <f t="shared" si="9"/>
        <v>571.80962245208048</v>
      </c>
      <c r="K43" s="1">
        <f t="shared" si="11"/>
        <v>-41506584.860450298</v>
      </c>
      <c r="L43" s="1">
        <f t="shared" si="7"/>
        <v>353190.14189088793</v>
      </c>
      <c r="M43" s="14">
        <f t="shared" si="0"/>
        <v>4041.1801450178118</v>
      </c>
      <c r="N43" s="14">
        <f t="shared" si="0"/>
        <v>353.1901418908879</v>
      </c>
      <c r="O43" s="14">
        <f t="shared" si="2"/>
        <v>827.68776010647503</v>
      </c>
      <c r="P43" s="14">
        <f t="shared" si="1"/>
        <v>353.1901418908879</v>
      </c>
      <c r="Q43" s="14">
        <f t="shared" si="6"/>
        <v>4056.5848001508716</v>
      </c>
      <c r="R43" s="7">
        <f t="shared" si="8"/>
        <v>0.99620255562450288</v>
      </c>
    </row>
    <row r="44" spans="1:18" ht="16.5" thickTop="1" thickBot="1">
      <c r="F44" s="16"/>
      <c r="H44" s="33">
        <f>'V_1,1pu_DIG'!H44</f>
        <v>3985821.5128942803</v>
      </c>
      <c r="I44" s="8">
        <f t="shared" si="10"/>
        <v>353190.14189088793</v>
      </c>
      <c r="J44" s="12">
        <f t="shared" si="9"/>
        <v>571.48237663319799</v>
      </c>
      <c r="K44" s="1">
        <f t="shared" si="11"/>
        <v>-41516425.844417296</v>
      </c>
      <c r="L44" s="1">
        <f t="shared" si="7"/>
        <v>353190.14189088793</v>
      </c>
      <c r="M44" s="14">
        <f t="shared" si="0"/>
        <v>3985.8215128942802</v>
      </c>
      <c r="N44" s="14">
        <f t="shared" si="0"/>
        <v>353.1901418908879</v>
      </c>
      <c r="O44" s="14">
        <f t="shared" si="2"/>
        <v>827.21979858547309</v>
      </c>
      <c r="P44" s="14">
        <f t="shared" si="1"/>
        <v>353.1901418908879</v>
      </c>
      <c r="Q44" s="14">
        <f t="shared" si="6"/>
        <v>4001.4392921772228</v>
      </c>
      <c r="R44" s="7">
        <f t="shared" si="8"/>
        <v>0.99609695958314914</v>
      </c>
    </row>
    <row r="45" spans="1:18" ht="16.5" thickTop="1" thickBot="1">
      <c r="F45" s="16"/>
      <c r="H45" s="33">
        <f>'V_1,1pu_DIG'!H45</f>
        <v>3930462.8807707485</v>
      </c>
      <c r="I45" s="8">
        <f t="shared" si="10"/>
        <v>353190.14189088793</v>
      </c>
      <c r="J45" s="12">
        <f t="shared" si="9"/>
        <v>571.15946091566445</v>
      </c>
      <c r="K45" s="1">
        <f t="shared" si="11"/>
        <v>-41526126.89223218</v>
      </c>
      <c r="L45" s="1">
        <f t="shared" ref="L45:L56" si="12">IF(ABS(I45)&lt;ABS(K45),I45,K45)</f>
        <v>353190.14189088793</v>
      </c>
      <c r="M45" s="14">
        <f t="shared" ref="M45:M56" si="13">H45/1000</f>
        <v>3930.4628807707486</v>
      </c>
      <c r="N45" s="14">
        <f t="shared" ref="N45:N56" si="14">I45/1000</f>
        <v>353.1901418908879</v>
      </c>
      <c r="O45" s="14">
        <f t="shared" ref="O45:O56" si="15">J45*1.43+10</f>
        <v>826.75802910940013</v>
      </c>
      <c r="P45" s="14">
        <f t="shared" ref="P45:P56" si="16">L45/1000</f>
        <v>353.1901418908879</v>
      </c>
      <c r="Q45" s="14">
        <f t="shared" ref="Q45:Q56" si="17">SQRT(M45^2+P45^2)</f>
        <v>3946.2997521026705</v>
      </c>
      <c r="R45" s="7">
        <f t="shared" ref="R45:R56" si="18">M45/SQRT(M45^2+P45^2)</f>
        <v>0.99598690613314822</v>
      </c>
    </row>
    <row r="46" spans="1:18" ht="16.5" thickTop="1" thickBot="1">
      <c r="F46" s="16"/>
      <c r="H46" s="33">
        <f>'V_1,1pu_DIG'!H46</f>
        <v>3875104.2486472167</v>
      </c>
      <c r="I46" s="8">
        <f t="shared" si="10"/>
        <v>353190.14189088793</v>
      </c>
      <c r="J46" s="12">
        <f t="shared" si="9"/>
        <v>570.84088264789057</v>
      </c>
      <c r="K46" s="1">
        <f t="shared" si="11"/>
        <v>-41535688.184086621</v>
      </c>
      <c r="L46" s="1">
        <f t="shared" si="12"/>
        <v>353190.14189088793</v>
      </c>
      <c r="M46" s="14">
        <f t="shared" si="13"/>
        <v>3875.1042486472165</v>
      </c>
      <c r="N46" s="14">
        <f t="shared" si="14"/>
        <v>353.1901418908879</v>
      </c>
      <c r="O46" s="14">
        <f t="shared" si="15"/>
        <v>826.30246218648347</v>
      </c>
      <c r="P46" s="14">
        <f t="shared" si="16"/>
        <v>353.1901418908879</v>
      </c>
      <c r="Q46" s="14">
        <f t="shared" si="17"/>
        <v>3891.1664336304884</v>
      </c>
      <c r="R46" s="7">
        <f t="shared" si="18"/>
        <v>0.99587214135986324</v>
      </c>
    </row>
    <row r="47" spans="1:18" ht="16.5" thickTop="1" thickBot="1">
      <c r="F47" s="16"/>
      <c r="H47" s="33">
        <f>'V_1,1pu_DIG'!H47</f>
        <v>3819745.6165236849</v>
      </c>
      <c r="I47" s="8">
        <f t="shared" si="10"/>
        <v>353190.14189088793</v>
      </c>
      <c r="J47" s="12">
        <f t="shared" si="9"/>
        <v>570.52664909588543</v>
      </c>
      <c r="K47" s="1">
        <f t="shared" si="11"/>
        <v>-41545109.897273794</v>
      </c>
      <c r="L47" s="1">
        <f t="shared" si="12"/>
        <v>353190.14189088793</v>
      </c>
      <c r="M47" s="14">
        <f t="shared" si="13"/>
        <v>3819.7456165236849</v>
      </c>
      <c r="N47" s="14">
        <f t="shared" si="14"/>
        <v>353.1901418908879</v>
      </c>
      <c r="O47" s="14">
        <f t="shared" si="15"/>
        <v>825.85310820711618</v>
      </c>
      <c r="P47" s="14">
        <f t="shared" si="16"/>
        <v>353.1901418908879</v>
      </c>
      <c r="Q47" s="14">
        <f t="shared" si="17"/>
        <v>3836.0396050198456</v>
      </c>
      <c r="R47" s="7">
        <f t="shared" si="18"/>
        <v>0.9957523930475487</v>
      </c>
    </row>
    <row r="48" spans="1:18" ht="16.5" thickTop="1" thickBot="1">
      <c r="F48" s="16"/>
      <c r="H48" s="33">
        <f>'V_1,1pu_DIG'!H48</f>
        <v>3764386.9844001532</v>
      </c>
      <c r="I48" s="8">
        <f t="shared" si="10"/>
        <v>353190.14189088793</v>
      </c>
      <c r="J48" s="12">
        <f t="shared" si="9"/>
        <v>570.21676744247247</v>
      </c>
      <c r="K48" s="1">
        <f t="shared" si="11"/>
        <v>-41554392.206205495</v>
      </c>
      <c r="L48" s="1">
        <f t="shared" si="12"/>
        <v>353190.14189088793</v>
      </c>
      <c r="M48" s="14">
        <f t="shared" si="13"/>
        <v>3764.3869844001533</v>
      </c>
      <c r="N48" s="14">
        <f t="shared" si="14"/>
        <v>353.1901418908879</v>
      </c>
      <c r="O48" s="14">
        <f t="shared" si="15"/>
        <v>825.40997744273557</v>
      </c>
      <c r="P48" s="14">
        <f t="shared" si="16"/>
        <v>353.1901418908879</v>
      </c>
      <c r="Q48" s="14">
        <f t="shared" si="17"/>
        <v>3780.9195501425561</v>
      </c>
      <c r="R48" s="7">
        <f t="shared" si="18"/>
        <v>0.99562736907698035</v>
      </c>
    </row>
    <row r="49" spans="6:18" ht="16.5" thickTop="1" thickBot="1">
      <c r="F49" s="16"/>
      <c r="H49" s="33">
        <f>'V_1,1pu_DIG'!H49</f>
        <v>3709028.3522766214</v>
      </c>
      <c r="I49" s="8">
        <f t="shared" si="10"/>
        <v>353190.14189088793</v>
      </c>
      <c r="J49" s="12">
        <f t="shared" si="9"/>
        <v>569.91124478651261</v>
      </c>
      <c r="K49" s="1">
        <f t="shared" si="11"/>
        <v>-41563535.282428838</v>
      </c>
      <c r="L49" s="1">
        <f t="shared" si="12"/>
        <v>353190.14189088793</v>
      </c>
      <c r="M49" s="14">
        <f t="shared" si="13"/>
        <v>3709.0283522766213</v>
      </c>
      <c r="N49" s="14">
        <f t="shared" si="14"/>
        <v>353.1901418908879</v>
      </c>
      <c r="O49" s="14">
        <f t="shared" si="15"/>
        <v>824.97308004471302</v>
      </c>
      <c r="P49" s="14">
        <f t="shared" si="16"/>
        <v>353.1901418908879</v>
      </c>
      <c r="Q49" s="14">
        <f t="shared" si="17"/>
        <v>3725.8065696330418</v>
      </c>
      <c r="R49" s="7">
        <f t="shared" si="18"/>
        <v>0.9954967556573735</v>
      </c>
    </row>
    <row r="50" spans="6:18" ht="16.5" thickTop="1" thickBot="1">
      <c r="F50" s="16"/>
      <c r="H50" s="33">
        <f>'V_1,1pu_DIG'!H50</f>
        <v>3653669.7201530896</v>
      </c>
      <c r="I50" s="8">
        <f t="shared" si="10"/>
        <v>353190.14189088793</v>
      </c>
      <c r="J50" s="12">
        <f t="shared" si="9"/>
        <v>569.61008814213267</v>
      </c>
      <c r="K50" s="1">
        <f t="shared" si="11"/>
        <v>-41572539.294642709</v>
      </c>
      <c r="L50" s="1">
        <f t="shared" si="12"/>
        <v>353190.14189088793</v>
      </c>
      <c r="M50" s="14">
        <f t="shared" si="13"/>
        <v>3653.6697201530897</v>
      </c>
      <c r="N50" s="14">
        <f t="shared" si="14"/>
        <v>353.1901418908879</v>
      </c>
      <c r="O50" s="14">
        <f t="shared" si="15"/>
        <v>824.54242604324963</v>
      </c>
      <c r="P50" s="14">
        <f t="shared" si="16"/>
        <v>353.1901418908879</v>
      </c>
      <c r="Q50" s="14">
        <f t="shared" si="17"/>
        <v>3670.7009821412125</v>
      </c>
      <c r="R50" s="7">
        <f t="shared" si="18"/>
        <v>0.99536021537276287</v>
      </c>
    </row>
    <row r="51" spans="6:18" ht="16.5" thickTop="1" thickBot="1">
      <c r="F51" s="16"/>
      <c r="H51" s="33">
        <f>'V_1,1pu_DIG'!H51</f>
        <v>3598311.0880295578</v>
      </c>
      <c r="I51" s="8">
        <f t="shared" si="10"/>
        <v>30565.24245703363</v>
      </c>
      <c r="J51" s="12">
        <f t="shared" si="9"/>
        <v>560.11324487258969</v>
      </c>
      <c r="K51" s="1">
        <f t="shared" si="11"/>
        <v>-41581404.408713877</v>
      </c>
      <c r="L51" s="1">
        <f t="shared" si="12"/>
        <v>30565.24245703363</v>
      </c>
      <c r="M51" s="14">
        <f t="shared" si="13"/>
        <v>3598.3110880295581</v>
      </c>
      <c r="N51" s="14">
        <f t="shared" si="14"/>
        <v>30.56524245703363</v>
      </c>
      <c r="O51" s="14">
        <f t="shared" si="15"/>
        <v>810.96194016780328</v>
      </c>
      <c r="P51" s="14">
        <f t="shared" si="16"/>
        <v>30.56524245703363</v>
      </c>
      <c r="Q51" s="14">
        <f t="shared" si="17"/>
        <v>3598.4409013186419</v>
      </c>
      <c r="R51" s="7">
        <f t="shared" si="18"/>
        <v>0.9999639251296204</v>
      </c>
    </row>
    <row r="52" spans="6:18" ht="16.5" thickTop="1" thickBot="1">
      <c r="F52" s="16"/>
      <c r="H52" s="33">
        <f>'V_1,1pu_DIG'!H52</f>
        <v>3542952.4559060261</v>
      </c>
      <c r="I52" s="8">
        <f t="shared" si="10"/>
        <v>-353504.56387718441</v>
      </c>
      <c r="J52" s="12">
        <f t="shared" si="9"/>
        <v>548.8649827880572</v>
      </c>
      <c r="K52" s="1">
        <f t="shared" si="11"/>
        <v>-41590130.787692823</v>
      </c>
      <c r="L52" s="1">
        <f t="shared" si="12"/>
        <v>-353504.56387718441</v>
      </c>
      <c r="M52" s="14">
        <f t="shared" si="13"/>
        <v>3542.952455906026</v>
      </c>
      <c r="N52" s="14">
        <f t="shared" si="14"/>
        <v>-353.50456387718441</v>
      </c>
      <c r="O52" s="14">
        <f t="shared" si="15"/>
        <v>794.87692538692181</v>
      </c>
      <c r="P52" s="14">
        <f t="shared" si="16"/>
        <v>-353.50456387718441</v>
      </c>
      <c r="Q52" s="14">
        <f t="shared" si="17"/>
        <v>3560.5445624921672</v>
      </c>
      <c r="R52" s="7">
        <f t="shared" si="18"/>
        <v>0.99505915281289792</v>
      </c>
    </row>
    <row r="53" spans="6:18" ht="16.5" thickTop="1" thickBot="1">
      <c r="F53" s="16"/>
      <c r="H53" s="33">
        <f>'V_1,1pu_DIG'!H53</f>
        <v>3321517.9274118994</v>
      </c>
      <c r="I53" s="8">
        <f t="shared" si="10"/>
        <v>-1067882.7520355722</v>
      </c>
      <c r="J53" s="12">
        <f t="shared" si="9"/>
        <v>527.30514274972393</v>
      </c>
      <c r="K53" s="1">
        <f t="shared" si="11"/>
        <v>-41623652.115983695</v>
      </c>
      <c r="L53" s="1">
        <f t="shared" si="12"/>
        <v>-1067882.7520355722</v>
      </c>
      <c r="M53" s="14">
        <f t="shared" si="13"/>
        <v>3321.5179274118996</v>
      </c>
      <c r="N53" s="14">
        <f t="shared" si="14"/>
        <v>-1067.8827520355721</v>
      </c>
      <c r="O53" s="14">
        <f t="shared" si="15"/>
        <v>764.04635413210519</v>
      </c>
      <c r="P53" s="14">
        <f t="shared" si="16"/>
        <v>-1067.8827520355721</v>
      </c>
      <c r="Q53" s="14">
        <f t="shared" si="17"/>
        <v>3488.9618676926966</v>
      </c>
      <c r="R53" s="7">
        <f t="shared" si="18"/>
        <v>0.95200751781459558</v>
      </c>
    </row>
    <row r="54" spans="6:18" ht="16.5" thickTop="1" thickBot="1">
      <c r="F54" s="16"/>
      <c r="H54" s="33">
        <f>'V_1,1pu_DIG'!H54</f>
        <v>3100083.3989177728</v>
      </c>
      <c r="I54" s="8">
        <f t="shared" si="10"/>
        <v>-1501914.2842063583</v>
      </c>
      <c r="J54" s="12">
        <f t="shared" si="9"/>
        <v>513.76448422438932</v>
      </c>
      <c r="K54" s="1">
        <f t="shared" si="11"/>
        <v>-41654966.004868999</v>
      </c>
      <c r="L54" s="1">
        <f t="shared" si="12"/>
        <v>-1501914.2842063583</v>
      </c>
      <c r="M54" s="14">
        <f t="shared" si="13"/>
        <v>3100.0833989177727</v>
      </c>
      <c r="N54" s="14">
        <f t="shared" si="14"/>
        <v>-1501.9142842063582</v>
      </c>
      <c r="O54" s="14">
        <f t="shared" si="15"/>
        <v>744.68321244087667</v>
      </c>
      <c r="P54" s="14">
        <f t="shared" si="16"/>
        <v>-1501.9142842063582</v>
      </c>
      <c r="Q54" s="14">
        <f t="shared" si="17"/>
        <v>3444.7443442654298</v>
      </c>
      <c r="R54" s="7">
        <f t="shared" si="18"/>
        <v>0.89994585638222335</v>
      </c>
    </row>
    <row r="55" spans="6:18" ht="16.5" thickTop="1" thickBot="1">
      <c r="F55" s="16"/>
      <c r="H55" s="33">
        <f>'V_1,1pu_DIG'!H55</f>
        <v>2878648.8704236462</v>
      </c>
      <c r="I55" s="8">
        <f t="shared" si="10"/>
        <v>-1829768.9032539886</v>
      </c>
      <c r="J55" s="12">
        <f t="shared" si="9"/>
        <v>503.29480645043492</v>
      </c>
      <c r="K55" s="1">
        <f t="shared" si="11"/>
        <v>-41684081.569626503</v>
      </c>
      <c r="L55" s="1">
        <f t="shared" si="12"/>
        <v>-1829768.9032539886</v>
      </c>
      <c r="M55" s="14">
        <f t="shared" si="13"/>
        <v>2878.6488704236463</v>
      </c>
      <c r="N55" s="14">
        <f t="shared" si="14"/>
        <v>-1829.7689032539886</v>
      </c>
      <c r="O55" s="14">
        <f t="shared" si="15"/>
        <v>729.71157322412193</v>
      </c>
      <c r="P55" s="14">
        <f t="shared" si="16"/>
        <v>-1829.7689032539886</v>
      </c>
      <c r="Q55" s="14">
        <f t="shared" si="17"/>
        <v>3410.9637286999459</v>
      </c>
      <c r="R55" s="7">
        <f t="shared" si="18"/>
        <v>0.84394004140314149</v>
      </c>
    </row>
    <row r="56" spans="6:18" ht="16.5" thickTop="1" thickBot="1">
      <c r="F56" s="16"/>
      <c r="H56" s="33">
        <f>'V_1,1pu_DIG'!H56</f>
        <v>2657214.3419295195</v>
      </c>
      <c r="I56" s="8">
        <f t="shared" si="10"/>
        <v>-2094490.6896341771</v>
      </c>
      <c r="J56" s="12">
        <f t="shared" si="9"/>
        <v>494.67954252636088</v>
      </c>
      <c r="K56" s="1">
        <f t="shared" si="11"/>
        <v>-41711007.240639903</v>
      </c>
      <c r="L56" s="1">
        <f t="shared" si="12"/>
        <v>-2094490.6896341771</v>
      </c>
      <c r="M56" s="14">
        <f t="shared" si="13"/>
        <v>2657.2143419295194</v>
      </c>
      <c r="N56" s="14">
        <f t="shared" si="14"/>
        <v>-2094.4906896341772</v>
      </c>
      <c r="O56" s="14">
        <f t="shared" si="15"/>
        <v>717.39174581269606</v>
      </c>
      <c r="P56" s="14">
        <f t="shared" si="16"/>
        <v>-2094.4906896341772</v>
      </c>
      <c r="Q56" s="14">
        <f t="shared" si="17"/>
        <v>3383.4419321040787</v>
      </c>
      <c r="R56" s="7">
        <f t="shared" si="18"/>
        <v>0.78535834078200473</v>
      </c>
    </row>
    <row r="57" spans="6:18" ht="16.5" thickTop="1" thickBot="1">
      <c r="F57" s="16"/>
      <c r="H57" s="33">
        <f>'V_1,1pu_DIG'!H57</f>
        <v>2435779.8134353929</v>
      </c>
      <c r="I57" s="8">
        <f t="shared" si="10"/>
        <v>-2314937.7059514541</v>
      </c>
      <c r="J57" s="12">
        <f t="shared" si="9"/>
        <v>487.38898549202145</v>
      </c>
      <c r="K57" s="1">
        <f t="shared" si="11"/>
        <v>-41735750.77588509</v>
      </c>
      <c r="L57" s="1">
        <f t="shared" ref="L57:L68" si="19">IF(ABS(I57)&lt;ABS(K57),I57,K57)</f>
        <v>-2314937.7059514541</v>
      </c>
      <c r="M57" s="14">
        <f t="shared" ref="M57:M68" si="20">H57/1000</f>
        <v>2435.779813435393</v>
      </c>
      <c r="N57" s="14">
        <f t="shared" ref="N57:N68" si="21">I57/1000</f>
        <v>-2314.9377059514541</v>
      </c>
      <c r="O57" s="14">
        <f t="shared" ref="O57:O68" si="22">J57*1.43+10</f>
        <v>706.9662492535906</v>
      </c>
      <c r="P57" s="14">
        <f t="shared" ref="P57:P68" si="23">L57/1000</f>
        <v>-2314.9377059514541</v>
      </c>
      <c r="Q57" s="14">
        <f t="shared" ref="Q57:Q68" si="24">SQRT(M57^2+P57^2)</f>
        <v>3360.3511545633351</v>
      </c>
      <c r="R57" s="7">
        <f t="shared" ref="R57:R68" si="25">M57/SQRT(M57^2+P57^2)</f>
        <v>0.7248587130924159</v>
      </c>
    </row>
    <row r="58" spans="6:18" ht="16.5" thickTop="1" thickBot="1">
      <c r="F58" s="16"/>
      <c r="H58" s="33">
        <f>'V_1,1pu_DIG'!H58</f>
        <v>2214345.2849412663</v>
      </c>
      <c r="I58" s="8">
        <f t="shared" si="10"/>
        <v>-2501385.9161306089</v>
      </c>
      <c r="J58" s="12">
        <f t="shared" si="9"/>
        <v>481.13660500916399</v>
      </c>
      <c r="K58" s="1">
        <f t="shared" si="11"/>
        <v>-41758319.272327892</v>
      </c>
      <c r="L58" s="1">
        <f t="shared" si="19"/>
        <v>-2501385.9161306089</v>
      </c>
      <c r="M58" s="14">
        <f t="shared" si="20"/>
        <v>2214.3452849412661</v>
      </c>
      <c r="N58" s="14">
        <f t="shared" si="21"/>
        <v>-2501.3859161306091</v>
      </c>
      <c r="O58" s="14">
        <f t="shared" si="22"/>
        <v>698.02534516310448</v>
      </c>
      <c r="P58" s="14">
        <f t="shared" si="23"/>
        <v>-2501.3859161306091</v>
      </c>
      <c r="Q58" s="14">
        <f t="shared" si="24"/>
        <v>3340.6970144504548</v>
      </c>
      <c r="R58" s="7">
        <f t="shared" si="25"/>
        <v>0.66283930430174798</v>
      </c>
    </row>
    <row r="59" spans="6:18" ht="16.5" thickTop="1" thickBot="1">
      <c r="F59" s="16"/>
      <c r="H59" s="33">
        <f>'V_1,1pu_DIG'!H59</f>
        <v>1992910.7564471397</v>
      </c>
      <c r="I59" s="8">
        <f t="shared" si="10"/>
        <v>-2660152.8901598034</v>
      </c>
      <c r="J59" s="12">
        <f t="shared" si="9"/>
        <v>475.74771886476168</v>
      </c>
      <c r="K59" s="1">
        <f t="shared" si="11"/>
        <v>-41778719.176273048</v>
      </c>
      <c r="L59" s="1">
        <f t="shared" si="19"/>
        <v>-2660152.8901598034</v>
      </c>
      <c r="M59" s="14">
        <f t="shared" si="20"/>
        <v>1992.9107564471396</v>
      </c>
      <c r="N59" s="14">
        <f t="shared" si="21"/>
        <v>-2660.1528901598035</v>
      </c>
      <c r="O59" s="14">
        <f t="shared" si="22"/>
        <v>690.3192379766092</v>
      </c>
      <c r="P59" s="14">
        <f t="shared" si="23"/>
        <v>-2660.1528901598035</v>
      </c>
      <c r="Q59" s="14">
        <f t="shared" si="24"/>
        <v>3323.8692336173913</v>
      </c>
      <c r="R59" s="7">
        <f t="shared" si="25"/>
        <v>0.59957555979969768</v>
      </c>
    </row>
    <row r="60" spans="6:18" ht="16.5" thickTop="1" thickBot="1">
      <c r="F60" s="16"/>
      <c r="H60" s="33">
        <f>'V_1,1pu_DIG'!H60</f>
        <v>1771476.227953013</v>
      </c>
      <c r="I60" s="8">
        <f t="shared" si="10"/>
        <v>-2795428.8388320142</v>
      </c>
      <c r="J60" s="12">
        <f t="shared" si="9"/>
        <v>471.10753408062436</v>
      </c>
      <c r="K60" s="1">
        <f t="shared" si="11"/>
        <v>-41796956.292700119</v>
      </c>
      <c r="L60" s="1">
        <f t="shared" si="19"/>
        <v>-2795428.8388320142</v>
      </c>
      <c r="M60" s="14">
        <f t="shared" si="20"/>
        <v>1771.476227953013</v>
      </c>
      <c r="N60" s="14">
        <f t="shared" si="21"/>
        <v>-2795.4288388320142</v>
      </c>
      <c r="O60" s="14">
        <f t="shared" si="22"/>
        <v>683.68377373529279</v>
      </c>
      <c r="P60" s="14">
        <f t="shared" si="23"/>
        <v>-2795.4288388320142</v>
      </c>
      <c r="Q60" s="14">
        <f t="shared" si="24"/>
        <v>3309.4637661071829</v>
      </c>
      <c r="R60" s="7">
        <f t="shared" si="25"/>
        <v>0.53527590967909111</v>
      </c>
    </row>
    <row r="61" spans="6:18" ht="16.5" thickTop="1" thickBot="1">
      <c r="F61" s="16"/>
      <c r="H61" s="33">
        <f>'V_1,1pu_DIG'!H61</f>
        <v>1550041.6994588864</v>
      </c>
      <c r="I61" s="8">
        <f t="shared" si="10"/>
        <v>-2910136.418830514</v>
      </c>
      <c r="J61" s="12">
        <f t="shared" si="9"/>
        <v>467.13676654248763</v>
      </c>
      <c r="K61" s="1">
        <f t="shared" si="11"/>
        <v>-41813035.793618508</v>
      </c>
      <c r="L61" s="1">
        <f t="shared" si="19"/>
        <v>-2910136.418830514</v>
      </c>
      <c r="M61" s="14">
        <f t="shared" si="20"/>
        <v>1550.0416994588863</v>
      </c>
      <c r="N61" s="14">
        <f t="shared" si="21"/>
        <v>-2910.1364188305138</v>
      </c>
      <c r="O61" s="14">
        <f t="shared" si="22"/>
        <v>678.00557615575724</v>
      </c>
      <c r="P61" s="14">
        <f t="shared" si="23"/>
        <v>-2910.1364188305138</v>
      </c>
      <c r="Q61" s="14">
        <f t="shared" si="24"/>
        <v>3297.1993033884196</v>
      </c>
      <c r="R61" s="7">
        <f t="shared" si="25"/>
        <v>0.47010858514556919</v>
      </c>
    </row>
    <row r="62" spans="6:18" ht="16.5" thickTop="1" thickBot="1">
      <c r="F62" s="16"/>
      <c r="H62" s="33">
        <f>'V_1,1pu_DIG'!H62</f>
        <v>1328607.1709647598</v>
      </c>
      <c r="I62" s="8">
        <f t="shared" si="10"/>
        <v>-3006383.1192886</v>
      </c>
      <c r="J62" s="12">
        <f t="shared" si="9"/>
        <v>463.77881960993687</v>
      </c>
      <c r="K62" s="1">
        <f t="shared" si="11"/>
        <v>-41826962.225469828</v>
      </c>
      <c r="L62" s="1">
        <f t="shared" si="19"/>
        <v>-3006383.1192886</v>
      </c>
      <c r="M62" s="14">
        <f t="shared" si="20"/>
        <v>1328.6071709647597</v>
      </c>
      <c r="N62" s="14">
        <f t="shared" si="21"/>
        <v>-3006.3831192886</v>
      </c>
      <c r="O62" s="14">
        <f t="shared" si="22"/>
        <v>673.20371204220976</v>
      </c>
      <c r="P62" s="14">
        <f t="shared" si="23"/>
        <v>-3006.3831192886</v>
      </c>
      <c r="Q62" s="14">
        <f t="shared" si="24"/>
        <v>3286.8733584795195</v>
      </c>
      <c r="R62" s="7">
        <f t="shared" si="25"/>
        <v>0.40421611241491895</v>
      </c>
    </row>
    <row r="63" spans="6:18" ht="16.5" thickTop="1" thickBot="1">
      <c r="F63" s="16"/>
      <c r="H63" s="33">
        <f>'V_1,1pu_DIG'!H63</f>
        <v>1107172.6424706331</v>
      </c>
      <c r="I63" s="8">
        <f t="shared" si="10"/>
        <v>-3085719.3148607374</v>
      </c>
      <c r="J63" s="12">
        <f t="shared" si="9"/>
        <v>460.99247189594576</v>
      </c>
      <c r="K63" s="1">
        <f t="shared" si="11"/>
        <v>-41838739.515602604</v>
      </c>
      <c r="L63" s="1">
        <f t="shared" si="19"/>
        <v>-3085719.3148607374</v>
      </c>
      <c r="M63" s="14">
        <f t="shared" si="20"/>
        <v>1107.172642470633</v>
      </c>
      <c r="N63" s="14">
        <f t="shared" si="21"/>
        <v>-3085.7193148607375</v>
      </c>
      <c r="O63" s="14">
        <f t="shared" si="22"/>
        <v>669.21923481120245</v>
      </c>
      <c r="P63" s="14">
        <f t="shared" si="23"/>
        <v>-3085.7193148607375</v>
      </c>
      <c r="Q63" s="14">
        <f t="shared" si="24"/>
        <v>3278.3372234015255</v>
      </c>
      <c r="R63" s="7">
        <f t="shared" si="25"/>
        <v>0.33772384200361694</v>
      </c>
    </row>
    <row r="64" spans="6:18" ht="16.5" thickTop="1" thickBot="1">
      <c r="F64" s="16"/>
      <c r="H64" s="33">
        <f>'V_1,1pu_DIG'!H64</f>
        <v>885738.1139765064</v>
      </c>
      <c r="I64" s="8">
        <f t="shared" si="10"/>
        <v>-3149294.3342232471</v>
      </c>
      <c r="J64" s="12">
        <f t="shared" si="9"/>
        <v>458.74745433959862</v>
      </c>
      <c r="K64" s="1">
        <f t="shared" si="11"/>
        <v>-41848370.977840975</v>
      </c>
      <c r="L64" s="1">
        <f t="shared" si="19"/>
        <v>-3149294.3342232471</v>
      </c>
      <c r="M64" s="14">
        <f t="shared" si="20"/>
        <v>885.73811397650638</v>
      </c>
      <c r="N64" s="14">
        <f t="shared" si="21"/>
        <v>-3149.294334223247</v>
      </c>
      <c r="O64" s="14">
        <f t="shared" si="22"/>
        <v>666.00885970562604</v>
      </c>
      <c r="P64" s="14">
        <f t="shared" si="23"/>
        <v>-3149.294334223247</v>
      </c>
      <c r="Q64" s="14">
        <f t="shared" si="24"/>
        <v>3271.4808283285574</v>
      </c>
      <c r="R64" s="7">
        <f t="shared" si="25"/>
        <v>0.27074531701567134</v>
      </c>
    </row>
    <row r="65" spans="6:18" ht="16.5" thickTop="1" thickBot="1">
      <c r="F65" s="16"/>
      <c r="H65" s="33">
        <f>'V_1,1pu_DIG'!H65</f>
        <v>664303.58548237965</v>
      </c>
      <c r="I65" s="8">
        <f t="shared" si="10"/>
        <v>-3197954.7802837081</v>
      </c>
      <c r="J65" s="12">
        <f t="shared" si="9"/>
        <v>457.02166265347824</v>
      </c>
      <c r="K65" s="1">
        <f t="shared" si="11"/>
        <v>-41855859.31716606</v>
      </c>
      <c r="L65" s="1">
        <f t="shared" si="19"/>
        <v>-3197954.7802837081</v>
      </c>
      <c r="M65" s="14">
        <f t="shared" si="20"/>
        <v>664.30358548237962</v>
      </c>
      <c r="N65" s="14">
        <f t="shared" si="21"/>
        <v>-3197.9547802837083</v>
      </c>
      <c r="O65" s="14">
        <f t="shared" si="22"/>
        <v>663.54097759447382</v>
      </c>
      <c r="P65" s="14">
        <f t="shared" si="23"/>
        <v>-3197.9547802837083</v>
      </c>
      <c r="Q65" s="14">
        <f t="shared" si="24"/>
        <v>3266.2232058486397</v>
      </c>
      <c r="R65" s="7">
        <f t="shared" si="25"/>
        <v>0.20338585075657079</v>
      </c>
    </row>
    <row r="66" spans="6:18" ht="16.5" thickTop="1" thickBot="1">
      <c r="F66" s="16"/>
      <c r="H66" s="33">
        <f>'V_1,1pu_DIG'!H66</f>
        <v>442869.05698825291</v>
      </c>
      <c r="I66" s="8">
        <f t="shared" si="10"/>
        <v>-3232307.9421043466</v>
      </c>
      <c r="J66" s="12">
        <f t="shared" si="9"/>
        <v>455.79935828845527</v>
      </c>
      <c r="K66" s="1">
        <f t="shared" si="11"/>
        <v>-41861206.633525223</v>
      </c>
      <c r="L66" s="1">
        <f t="shared" si="19"/>
        <v>-3232307.9421043466</v>
      </c>
      <c r="M66" s="14">
        <f t="shared" si="20"/>
        <v>442.86905698825291</v>
      </c>
      <c r="N66" s="14">
        <f t="shared" si="21"/>
        <v>-3232.3079421043467</v>
      </c>
      <c r="O66" s="14">
        <f t="shared" si="22"/>
        <v>661.79308235249096</v>
      </c>
      <c r="P66" s="14">
        <f t="shared" si="23"/>
        <v>-3232.3079421043467</v>
      </c>
      <c r="Q66" s="14">
        <f t="shared" si="24"/>
        <v>3262.5063424043333</v>
      </c>
      <c r="R66" s="7">
        <f t="shared" si="25"/>
        <v>0.13574504093128492</v>
      </c>
    </row>
    <row r="67" spans="6:18" ht="16.5" thickTop="1" thickBot="1">
      <c r="F67" s="16"/>
      <c r="H67" s="33">
        <f>'V_1,1pu_DIG'!H67</f>
        <v>221434.52849412619</v>
      </c>
      <c r="I67" s="8">
        <f t="shared" si="10"/>
        <v>-3252762.7504195129</v>
      </c>
      <c r="J67" s="12">
        <f t="shared" si="9"/>
        <v>455.07000558178646</v>
      </c>
      <c r="K67" s="1">
        <f t="shared" si="11"/>
        <v>-41864414.424781978</v>
      </c>
      <c r="L67" s="1">
        <f t="shared" si="19"/>
        <v>-3252762.7504195129</v>
      </c>
      <c r="M67" s="14">
        <f t="shared" si="20"/>
        <v>221.4345284941262</v>
      </c>
      <c r="N67" s="14">
        <f t="shared" si="21"/>
        <v>-3252.7627504195129</v>
      </c>
      <c r="O67" s="14">
        <f t="shared" si="22"/>
        <v>660.75010798195456</v>
      </c>
      <c r="P67" s="14">
        <f t="shared" si="23"/>
        <v>-3252.7627504195129</v>
      </c>
      <c r="Q67" s="14">
        <f t="shared" si="24"/>
        <v>3260.291207994484</v>
      </c>
      <c r="R67" s="7">
        <f t="shared" si="25"/>
        <v>6.7918634983019852E-2</v>
      </c>
    </row>
    <row r="68" spans="6:18" ht="16.5" thickTop="1" thickBot="1">
      <c r="F68" s="16"/>
      <c r="H68" s="33">
        <f>'V_1,1pu_DIG'!H68</f>
        <v>-5.2386894822120667E-10</v>
      </c>
      <c r="I68" s="8">
        <f t="shared" si="10"/>
        <v>-3259555.2839551074</v>
      </c>
      <c r="J68" s="12">
        <f>SQRT(3)*SQRT(($B$3/SQRT(3)*K_1+SQRT(H68^2+I68^2)/SQRT(3)/$B$3/Nm*I68/SQRT(H68^2+I68^2)*K_2)^2+(SQRT(H68^2+I68^2)/SQRT(3)/$B$3/Nm*H68/SQRT(H68^2+I68^2)*K_2)^2)</f>
        <v>454.82754699211557</v>
      </c>
      <c r="K68" s="1">
        <f t="shared" si="11"/>
        <v>-41865483.588816322</v>
      </c>
      <c r="L68" s="1">
        <f t="shared" si="19"/>
        <v>-3259555.2839551074</v>
      </c>
      <c r="M68" s="14">
        <f t="shared" si="20"/>
        <v>-5.2386894822120663E-13</v>
      </c>
      <c r="N68" s="14">
        <f t="shared" si="21"/>
        <v>-3259.5552839551074</v>
      </c>
      <c r="O68" s="14">
        <f t="shared" si="22"/>
        <v>660.40339219872521</v>
      </c>
      <c r="P68" s="14">
        <f t="shared" si="23"/>
        <v>-3259.5552839551074</v>
      </c>
      <c r="Q68" s="14">
        <f t="shared" si="24"/>
        <v>3259.5552839551074</v>
      </c>
      <c r="R68" s="7">
        <f t="shared" si="25"/>
        <v>-1.6071792087709278E-16</v>
      </c>
    </row>
    <row r="69" spans="6:18" ht="15.75" thickTop="1"/>
  </sheetData>
  <sheetProtection selectLockedCells="1"/>
  <hyperlinks>
    <hyperlink ref="A13" r:id="rId1" display="Vdc@Tmin" xr:uid="{00000000-0004-0000-0400-000000000000}"/>
    <hyperlink ref="A22" r:id="rId2" display="P@PF=1 (W) (kW)" xr:uid="{00000000-0004-0000-0400-000001000000}"/>
    <hyperlink ref="C22" r:id="rId3" display="P@PF=1 (kW)" xr:uid="{00000000-0004-0000-0400-000002000000}"/>
    <hyperlink ref="C23" r:id="rId4" display="P@PF=1 (kW)" xr:uid="{00000000-0004-0000-0400-000003000000}"/>
  </hyperlinks>
  <pageMargins left="0.7" right="0.7" top="0.75" bottom="0.75" header="0.3" footer="0.3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9"/>
  <sheetViews>
    <sheetView workbookViewId="0">
      <selection activeCell="D8" sqref="D8"/>
    </sheetView>
  </sheetViews>
  <sheetFormatPr baseColWidth="10" defaultRowHeight="15"/>
  <cols>
    <col min="1" max="1" width="28.140625" customWidth="1"/>
    <col min="2" max="2" width="14.5703125" bestFit="1" customWidth="1"/>
    <col min="3" max="3" width="17.42578125" bestFit="1" customWidth="1"/>
    <col min="4" max="4" width="10.5703125" bestFit="1" customWidth="1"/>
    <col min="6" max="6" width="21.140625" bestFit="1" customWidth="1"/>
    <col min="8" max="8" width="9.140625" hidden="1" customWidth="1"/>
    <col min="9" max="12" width="11.85546875" hidden="1" customWidth="1"/>
    <col min="13" max="13" width="10.5703125" bestFit="1" customWidth="1"/>
    <col min="14" max="15" width="10.5703125" customWidth="1"/>
    <col min="16" max="16" width="10.7109375" bestFit="1" customWidth="1"/>
    <col min="19" max="19" width="10.85546875" bestFit="1" customWidth="1"/>
  </cols>
  <sheetData>
    <row r="1" spans="1:19" ht="15.75" thickBot="1">
      <c r="A1" s="3" t="s">
        <v>70</v>
      </c>
      <c r="B1">
        <f>Capability!B1</f>
        <v>620</v>
      </c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18</v>
      </c>
      <c r="O1" s="2" t="s">
        <v>19</v>
      </c>
      <c r="P1" s="2" t="s">
        <v>14</v>
      </c>
      <c r="Q1" s="2" t="s">
        <v>13</v>
      </c>
      <c r="R1" s="2" t="s">
        <v>12</v>
      </c>
    </row>
    <row r="2" spans="1:19" ht="16.5" thickTop="1" thickBot="1">
      <c r="A2" s="3" t="s">
        <v>71</v>
      </c>
      <c r="B2" s="28">
        <v>0.92</v>
      </c>
      <c r="F2" t="s">
        <v>20</v>
      </c>
      <c r="G2" s="15">
        <f>Capability!G2</f>
        <v>3750</v>
      </c>
      <c r="H2" s="1">
        <f>G2*1000</f>
        <v>3750000</v>
      </c>
      <c r="I2" s="8">
        <f>Nm*(SQRT(IF(3/K_3^2*Ii^2*B3^2-(H2/Nm)^2&lt;0.0000000001,0,3/K_3^2*Ii^2*B3^2-(H2/Nm)^2))+B3^2/K_3*K_4)</f>
        <v>369061.89641536732</v>
      </c>
      <c r="J2" s="11">
        <f>SQRT(3)*SQRT((B3/SQRT(3)*K_1+SQRT(H2^2+I2^2)/SQRT(3)/B3/Nm*I2/SQRT(H2^2+I2^2)*K_2)^2+(SQRT(H2^2+I2^2)/SQRT(3)/B3/Nm*H2/SQRT(H2^2+I2^2)*K_2)^2)</f>
        <v>581.91265190976355</v>
      </c>
      <c r="K2" s="1">
        <f>Nm*(SQRT(Vi^2*B3^2/K_2^2-(H2/Nm)^2)-B3^2*K_1/K_2)</f>
        <v>3353688.3708038013</v>
      </c>
      <c r="L2" s="1">
        <f>IF(ABS(I2)&lt;ABS(K2),I2,K2)</f>
        <v>369061.89641536732</v>
      </c>
      <c r="M2" s="13">
        <f t="shared" ref="M2:N44" si="0">H2/1000</f>
        <v>3750</v>
      </c>
      <c r="N2" s="13">
        <f>I2/1000</f>
        <v>369.0618964153673</v>
      </c>
      <c r="O2" s="13">
        <f>J2*1.43+10</f>
        <v>842.13509223096185</v>
      </c>
      <c r="P2" s="13">
        <f t="shared" ref="P2:P44" si="1">L2/1000</f>
        <v>369.0618964153673</v>
      </c>
      <c r="Q2" s="13">
        <f>SQRT(M2^2+P2^2)</f>
        <v>3768.1171270789482</v>
      </c>
      <c r="R2" s="9">
        <f>M2/SQRT(M2^2+P2^2)</f>
        <v>0.99519199471036812</v>
      </c>
      <c r="S2" s="10" t="s">
        <v>15</v>
      </c>
    </row>
    <row r="3" spans="1:19" ht="16.5" thickTop="1" thickBot="1">
      <c r="A3" s="21" t="s">
        <v>67</v>
      </c>
      <c r="B3" s="21">
        <f>$B$1*B2</f>
        <v>570.4</v>
      </c>
      <c r="F3" t="s">
        <v>21</v>
      </c>
      <c r="G3" s="15">
        <f>Capability!G3</f>
        <v>2846</v>
      </c>
      <c r="H3" s="1">
        <f>G3*1000</f>
        <v>2846000</v>
      </c>
      <c r="I3" s="8">
        <f>Nm*(-SQRT(IF(3/K_3^2*Ii^2*B3^2-(H3/Nm)^2&lt;0.0000000001,0,3/K_3^2*Ii^2*B3^2-(H3/Nm)^2))+B3^2/K_3*K_4)</f>
        <v>-1984391.8773708602</v>
      </c>
      <c r="J3" s="12">
        <f>SQRT(3)*SQRT((B3/SQRT(3)*K_1+SQRT(H3^2+I3^2)/SQRT(3)/B3/Nm*I3/SQRT(H3^2+I3^2)*K_2)^2+(SQRT(H3^2+I3^2)/SQRT(3)/B3/Nm*H3/SQRT(H3^2+I3^2)*K_2)^2)</f>
        <v>511.70656369036834</v>
      </c>
      <c r="K3" s="1">
        <f>Nm*(-SQRT(Vi^2*B3^2/K_2^2-(H3/Nm)^2)-B3^2*K_1/K_2)</f>
        <v>-43052528.856751025</v>
      </c>
      <c r="L3" s="1">
        <f>IF(ABS(I3)&lt;ABS(K3),I3,K3)</f>
        <v>-1984391.8773708602</v>
      </c>
      <c r="M3" s="13">
        <f t="shared" si="0"/>
        <v>2846</v>
      </c>
      <c r="N3" s="13">
        <f t="shared" si="0"/>
        <v>-1984.3918773708601</v>
      </c>
      <c r="O3" s="13">
        <f t="shared" ref="O3:O44" si="2">J3*1.43+10</f>
        <v>741.74038607722673</v>
      </c>
      <c r="P3" s="13">
        <f t="shared" si="1"/>
        <v>-1984.3918773708601</v>
      </c>
      <c r="Q3" s="13">
        <f>SQRT(M3^2+P3^2)</f>
        <v>3469.5139606255293</v>
      </c>
      <c r="R3" s="9">
        <f>M3/SQRT(M3^2+P3^2)</f>
        <v>0.8202878075426121</v>
      </c>
      <c r="S3" s="10" t="s">
        <v>16</v>
      </c>
    </row>
    <row r="4" spans="1:19" ht="16.5" thickTop="1" thickBot="1">
      <c r="A4" s="3" t="s">
        <v>11</v>
      </c>
      <c r="B4" s="6">
        <f>Nm</f>
        <v>3</v>
      </c>
      <c r="F4" s="16"/>
      <c r="H4" s="33">
        <f>'V_1,1pu_DIG'!H4</f>
        <v>0</v>
      </c>
      <c r="I4" s="8">
        <f t="shared" ref="I4:I36" si="3">Nm*(SQRT(IF(3/K_3^2*Ii^2*$B$3^2-(H4/Nm)^2&lt;0.0000000001,0,3/K_3^2*Ii^2*$B$3^2-(H4/Nm)^2))+$B$3^2/K_3*K_4)</f>
        <v>4062090.5539468294</v>
      </c>
      <c r="J4" s="12">
        <f t="shared" ref="J4:J35" si="4">SQRT(3)*SQRT(($B$3/SQRT(3)*K_1+SQRT(H4^2+I4^2)/SQRT(3)/$B$3/Nm*I4/SQRT(H4^2+I4^2)*K_2)^2+(SQRT(H4^2+I4^2)/SQRT(3)/$B$3/Nm*H4/SQRT(H4^2+I4^2)*K_2)^2)</f>
        <v>676.92343334482564</v>
      </c>
      <c r="K4" s="1">
        <f t="shared" ref="K4:K35" si="5">Nm*(SQRT(Vi^2*$B$3^2/K_2^2-(H4/Nm)^2)-$B$3^2*K_1/K_2)</f>
        <v>3655590.7354822643</v>
      </c>
      <c r="L4" s="1">
        <f>IF(ABS(I4)&lt;ABS(K4),I4,K4)</f>
        <v>3655590.7354822643</v>
      </c>
      <c r="M4" s="14">
        <f t="shared" si="0"/>
        <v>0</v>
      </c>
      <c r="N4" s="14">
        <f t="shared" si="0"/>
        <v>4062.0905539468295</v>
      </c>
      <c r="O4" s="14">
        <f t="shared" si="2"/>
        <v>978.00050968310063</v>
      </c>
      <c r="P4" s="14">
        <f t="shared" si="1"/>
        <v>3655.5907354822643</v>
      </c>
      <c r="Q4" s="14">
        <f t="shared" ref="Q4:Q44" si="6">SQRT(M4^2+P4^2)</f>
        <v>3655.5907354822643</v>
      </c>
      <c r="R4" s="7">
        <f>M4/SQRT(M4^2+P4^2)</f>
        <v>0</v>
      </c>
    </row>
    <row r="5" spans="1:19" ht="16.5" thickTop="1" thickBot="1">
      <c r="A5" s="3" t="s">
        <v>1</v>
      </c>
      <c r="B5" s="6">
        <f>Capability!B5</f>
        <v>50</v>
      </c>
      <c r="C5" s="1" t="s">
        <v>32</v>
      </c>
      <c r="D5" s="1">
        <f>2*PI()*B5</f>
        <v>314.15926535897933</v>
      </c>
      <c r="F5" s="16"/>
      <c r="H5" s="33">
        <f>'V_1,1pu_DIG'!H5</f>
        <v>221434.52849412672</v>
      </c>
      <c r="I5" s="8">
        <f t="shared" si="3"/>
        <v>4055445.9533116668</v>
      </c>
      <c r="J5" s="12">
        <f t="shared" si="4"/>
        <v>676.7640111577615</v>
      </c>
      <c r="K5" s="1">
        <f t="shared" si="5"/>
        <v>3654544.8151929807</v>
      </c>
      <c r="L5" s="1">
        <f t="shared" ref="L5:L44" si="7">IF(ABS(I5)&lt;ABS(K5),I5,K5)</f>
        <v>3654544.8151929807</v>
      </c>
      <c r="M5" s="14">
        <f t="shared" si="0"/>
        <v>221.43452849412671</v>
      </c>
      <c r="N5" s="14">
        <f t="shared" si="0"/>
        <v>4055.4459533116669</v>
      </c>
      <c r="O5" s="14">
        <f t="shared" si="2"/>
        <v>977.77253595559887</v>
      </c>
      <c r="P5" s="14">
        <f t="shared" si="1"/>
        <v>3654.5448151929809</v>
      </c>
      <c r="Q5" s="14">
        <f t="shared" si="6"/>
        <v>3661.247199611536</v>
      </c>
      <c r="R5" s="7">
        <f t="shared" ref="R5:R44" si="8">M5/SQRT(M5^2+P5^2)</f>
        <v>6.0480627617174078E-2</v>
      </c>
    </row>
    <row r="6" spans="1:19" ht="16.5" thickTop="1" thickBot="1">
      <c r="A6" s="3" t="s">
        <v>0</v>
      </c>
      <c r="B6" s="6">
        <f>Capability!B6</f>
        <v>2700</v>
      </c>
      <c r="F6" s="16"/>
      <c r="H6" s="33">
        <f>'V_1,1pu_DIG'!H6</f>
        <v>442869.05698825343</v>
      </c>
      <c r="I6" s="8">
        <f t="shared" si="3"/>
        <v>4035439.8998011295</v>
      </c>
      <c r="J6" s="12">
        <f t="shared" si="4"/>
        <v>676.2837841639099</v>
      </c>
      <c r="K6" s="1">
        <f t="shared" si="5"/>
        <v>3651406.7742631529</v>
      </c>
      <c r="L6" s="1">
        <f t="shared" si="7"/>
        <v>3651406.7742631529</v>
      </c>
      <c r="M6" s="14">
        <f t="shared" si="0"/>
        <v>442.86905698825342</v>
      </c>
      <c r="N6" s="14">
        <f t="shared" si="0"/>
        <v>4035.4398998011293</v>
      </c>
      <c r="O6" s="14">
        <f t="shared" si="2"/>
        <v>977.08581135439113</v>
      </c>
      <c r="P6" s="14">
        <f t="shared" si="1"/>
        <v>3651.4067742631528</v>
      </c>
      <c r="Q6" s="14">
        <f t="shared" si="6"/>
        <v>3678.1659060967477</v>
      </c>
      <c r="R6" s="7">
        <f t="shared" si="8"/>
        <v>0.12040486163339598</v>
      </c>
    </row>
    <row r="7" spans="1:19" ht="16.5" thickTop="1" thickBot="1">
      <c r="A7" s="3" t="s">
        <v>43</v>
      </c>
      <c r="B7" s="6">
        <f>Capability!B7</f>
        <v>33</v>
      </c>
      <c r="C7" s="1" t="s">
        <v>40</v>
      </c>
      <c r="D7" s="1">
        <f>B7+aux!C6</f>
        <v>44.25</v>
      </c>
      <c r="F7" s="16"/>
      <c r="H7" s="33">
        <f>'V_1,1pu_DIG'!H7</f>
        <v>664303.58548238012</v>
      </c>
      <c r="I7" s="8">
        <f t="shared" si="3"/>
        <v>4001851.6524656522</v>
      </c>
      <c r="J7" s="12">
        <f t="shared" si="4"/>
        <v>675.47676126741385</v>
      </c>
      <c r="K7" s="1">
        <f t="shared" si="5"/>
        <v>3646175.7721317373</v>
      </c>
      <c r="L7" s="1">
        <f t="shared" si="7"/>
        <v>3646175.7721317373</v>
      </c>
      <c r="M7" s="14">
        <f t="shared" si="0"/>
        <v>664.30358548238007</v>
      </c>
      <c r="N7" s="14">
        <f t="shared" si="0"/>
        <v>4001.851652465652</v>
      </c>
      <c r="O7" s="14">
        <f t="shared" si="2"/>
        <v>975.93176861240181</v>
      </c>
      <c r="P7" s="14">
        <f t="shared" si="1"/>
        <v>3646.1757721317372</v>
      </c>
      <c r="Q7" s="14">
        <f t="shared" si="6"/>
        <v>3706.197109567328</v>
      </c>
      <c r="R7" s="7">
        <f t="shared" si="8"/>
        <v>0.17924129932742103</v>
      </c>
    </row>
    <row r="8" spans="1:19" ht="16.5" thickTop="1" thickBot="1">
      <c r="A8" s="3" t="s">
        <v>41</v>
      </c>
      <c r="B8" s="6">
        <f>Capability!B8</f>
        <v>951.5</v>
      </c>
      <c r="C8" s="1" t="s">
        <v>33</v>
      </c>
      <c r="D8" s="1">
        <f>IF(B8&gt;1250,1250,IF(B8&lt;B3*1.43,B3*1.43,B8))</f>
        <v>951.5</v>
      </c>
      <c r="F8" s="16"/>
      <c r="H8" s="33">
        <f>'V_1,1pu_DIG'!H8</f>
        <v>885738.11397650687</v>
      </c>
      <c r="I8" s="8">
        <f t="shared" si="3"/>
        <v>3954299.4978579795</v>
      </c>
      <c r="J8" s="12">
        <f t="shared" si="4"/>
        <v>674.33257678965754</v>
      </c>
      <c r="K8" s="1">
        <f t="shared" si="5"/>
        <v>3638850.4066122081</v>
      </c>
      <c r="L8" s="1">
        <f t="shared" si="7"/>
        <v>3638850.4066122081</v>
      </c>
      <c r="M8" s="14">
        <f t="shared" si="0"/>
        <v>885.73811397650684</v>
      </c>
      <c r="N8" s="14">
        <f t="shared" si="0"/>
        <v>3954.2994978579795</v>
      </c>
      <c r="O8" s="14">
        <f t="shared" si="2"/>
        <v>974.29558480921025</v>
      </c>
      <c r="P8" s="14">
        <f t="shared" si="1"/>
        <v>3638.8504066122082</v>
      </c>
      <c r="Q8" s="14">
        <f t="shared" si="6"/>
        <v>3745.0987020708135</v>
      </c>
      <c r="R8" s="7">
        <f t="shared" si="8"/>
        <v>0.23650594668886754</v>
      </c>
    </row>
    <row r="9" spans="1:19" ht="16.5" thickTop="1" thickBot="1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H9" s="33">
        <f>'V_1,1pu_DIG'!H9</f>
        <v>1107172.6424706336</v>
      </c>
      <c r="I9" s="8">
        <f t="shared" si="3"/>
        <v>3892218.0673951935</v>
      </c>
      <c r="J9" s="12">
        <f t="shared" si="4"/>
        <v>672.8358652925491</v>
      </c>
      <c r="K9" s="1">
        <f t="shared" si="5"/>
        <v>3629428.7120112162</v>
      </c>
      <c r="L9" s="1">
        <f t="shared" si="7"/>
        <v>3629428.7120112162</v>
      </c>
      <c r="M9" s="14">
        <f t="shared" si="0"/>
        <v>1107.1726424706337</v>
      </c>
      <c r="N9" s="14">
        <f t="shared" si="0"/>
        <v>3892.2180673951934</v>
      </c>
      <c r="O9" s="14">
        <f t="shared" si="2"/>
        <v>972.15528736834517</v>
      </c>
      <c r="P9" s="14">
        <f t="shared" si="1"/>
        <v>3629.4287120112162</v>
      </c>
      <c r="Q9" s="14">
        <f t="shared" si="6"/>
        <v>3794.5466179514519</v>
      </c>
      <c r="R9" s="7">
        <f t="shared" si="8"/>
        <v>0.29177995527390804</v>
      </c>
    </row>
    <row r="10" spans="1:19" ht="16.5" thickTop="1" thickBot="1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1.1492499999999999</v>
      </c>
      <c r="F10" s="16"/>
      <c r="H10" s="33">
        <f>'V_1,1pu_DIG'!H10</f>
        <v>1328607.1709647602</v>
      </c>
      <c r="I10" s="8">
        <f t="shared" si="3"/>
        <v>3814822.1391788786</v>
      </c>
      <c r="J10" s="12">
        <f t="shared" si="4"/>
        <v>670.96526330311372</v>
      </c>
      <c r="K10" s="1">
        <f t="shared" si="5"/>
        <v>3617908.1564865159</v>
      </c>
      <c r="L10" s="1">
        <f t="shared" si="7"/>
        <v>3617908.1564865159</v>
      </c>
      <c r="M10" s="14">
        <f t="shared" si="0"/>
        <v>1328.6071709647601</v>
      </c>
      <c r="N10" s="14">
        <f t="shared" si="0"/>
        <v>3814.8221391788788</v>
      </c>
      <c r="O10" s="14">
        <f t="shared" si="2"/>
        <v>969.48032652345262</v>
      </c>
      <c r="P10" s="14">
        <f t="shared" si="1"/>
        <v>3617.908156486516</v>
      </c>
      <c r="Q10" s="14">
        <f t="shared" si="6"/>
        <v>3854.1479529865801</v>
      </c>
      <c r="R10" s="7">
        <f t="shared" si="8"/>
        <v>0.34472137218687265</v>
      </c>
    </row>
    <row r="11" spans="1:19" ht="16.5" thickTop="1" thickBot="1">
      <c r="A11" s="21" t="s">
        <v>49</v>
      </c>
      <c r="B11" s="20">
        <f>B9*B10</f>
        <v>1.2004372301587298</v>
      </c>
      <c r="F11" s="16"/>
      <c r="H11" s="33">
        <f>'V_1,1pu_DIG'!H11</f>
        <v>1550041.6994588869</v>
      </c>
      <c r="I11" s="8">
        <f t="shared" si="3"/>
        <v>3721051.0663392856</v>
      </c>
      <c r="J11" s="12">
        <f t="shared" si="4"/>
        <v>668.69187562208288</v>
      </c>
      <c r="K11" s="1">
        <f t="shared" si="5"/>
        <v>3604285.6386357872</v>
      </c>
      <c r="L11" s="1">
        <f t="shared" si="7"/>
        <v>3604285.6386357872</v>
      </c>
      <c r="M11" s="14">
        <f t="shared" si="0"/>
        <v>1550.0416994588868</v>
      </c>
      <c r="N11" s="14">
        <f t="shared" si="0"/>
        <v>3721.0510663392856</v>
      </c>
      <c r="O11" s="14">
        <f t="shared" si="2"/>
        <v>966.22938213957843</v>
      </c>
      <c r="P11" s="14">
        <f t="shared" si="1"/>
        <v>3604.2856386357871</v>
      </c>
      <c r="Q11" s="14">
        <f t="shared" si="6"/>
        <v>3923.4556496712917</v>
      </c>
      <c r="R11" s="7">
        <f t="shared" si="8"/>
        <v>0.39507052911092538</v>
      </c>
    </row>
    <row r="12" spans="1:19" ht="16.5" thickTop="1" thickBot="1">
      <c r="A12" s="3" t="s">
        <v>44</v>
      </c>
      <c r="B12" s="6">
        <f>Capability!B12</f>
        <v>-5</v>
      </c>
      <c r="C12" s="1" t="s">
        <v>39</v>
      </c>
      <c r="D12" s="1">
        <f>B12+aux!C6</f>
        <v>6.25</v>
      </c>
      <c r="F12" s="16"/>
      <c r="H12" s="33">
        <f>'V_1,1pu_DIG'!H12</f>
        <v>1771476.2279530135</v>
      </c>
      <c r="I12" s="8">
        <f t="shared" si="3"/>
        <v>3609483.5725473482</v>
      </c>
      <c r="J12" s="12">
        <f t="shared" si="4"/>
        <v>665.97692178118962</v>
      </c>
      <c r="K12" s="1">
        <f t="shared" si="5"/>
        <v>3588557.483305634</v>
      </c>
      <c r="L12" s="1">
        <f t="shared" si="7"/>
        <v>3588557.483305634</v>
      </c>
      <c r="M12" s="14">
        <f t="shared" si="0"/>
        <v>1771.4762279530134</v>
      </c>
      <c r="N12" s="14">
        <f t="shared" si="0"/>
        <v>3609.4835725473481</v>
      </c>
      <c r="O12" s="14">
        <f t="shared" si="2"/>
        <v>962.34699814710109</v>
      </c>
      <c r="P12" s="14">
        <f t="shared" si="1"/>
        <v>3588.5574833056339</v>
      </c>
      <c r="Q12" s="14">
        <f t="shared" si="6"/>
        <v>4001.983612808966</v>
      </c>
      <c r="R12" s="7">
        <f t="shared" si="8"/>
        <v>0.44264954566108927</v>
      </c>
    </row>
    <row r="13" spans="1:19" ht="16.5" thickTop="1" thickBot="1">
      <c r="A13" s="3" t="s">
        <v>42</v>
      </c>
      <c r="B13" s="19">
        <f>Capability!B13</f>
        <v>1130</v>
      </c>
      <c r="C13" s="1" t="s">
        <v>48</v>
      </c>
      <c r="D13" s="1">
        <f>IF(B13&gt;1250,1250,IF(B13&lt;B3*1.43,B3*1.43,B13))</f>
        <v>1130</v>
      </c>
      <c r="F13" s="16"/>
      <c r="H13" s="33">
        <f>'V_1,1pu_DIG'!H13</f>
        <v>1992910.7564471401</v>
      </c>
      <c r="I13" s="8">
        <f t="shared" si="3"/>
        <v>3478204.4441583822</v>
      </c>
      <c r="J13" s="12">
        <f t="shared" si="4"/>
        <v>662.76805024663679</v>
      </c>
      <c r="K13" s="1">
        <f t="shared" si="5"/>
        <v>3570719.4366075005</v>
      </c>
      <c r="L13" s="1">
        <f t="shared" si="7"/>
        <v>3478204.4441583822</v>
      </c>
      <c r="M13" s="14">
        <f t="shared" si="0"/>
        <v>1992.9107564471401</v>
      </c>
      <c r="N13" s="14">
        <f t="shared" si="0"/>
        <v>3478.2044441583821</v>
      </c>
      <c r="O13" s="14">
        <f t="shared" si="2"/>
        <v>957.75831185269055</v>
      </c>
      <c r="P13" s="14">
        <f t="shared" si="1"/>
        <v>3478.2044441583821</v>
      </c>
      <c r="Q13" s="14">
        <f t="shared" si="6"/>
        <v>4008.6904892403245</v>
      </c>
      <c r="R13" s="7">
        <f t="shared" si="8"/>
        <v>0.497147575198506</v>
      </c>
    </row>
    <row r="14" spans="1:19" ht="16.5" thickTop="1" thickBot="1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H14" s="33">
        <f>'V_1,1pu_DIG'!H14</f>
        <v>2214345.2849412668</v>
      </c>
      <c r="I14" s="8">
        <f t="shared" si="3"/>
        <v>3324588.1819366137</v>
      </c>
      <c r="J14" s="12">
        <f t="shared" si="4"/>
        <v>658.99335052706135</v>
      </c>
      <c r="K14" s="1">
        <f t="shared" si="5"/>
        <v>3550766.6601245916</v>
      </c>
      <c r="L14" s="1">
        <f t="shared" si="7"/>
        <v>3324588.1819366137</v>
      </c>
      <c r="M14" s="14">
        <f t="shared" si="0"/>
        <v>2214.345284941267</v>
      </c>
      <c r="N14" s="14">
        <f t="shared" si="0"/>
        <v>3324.5881819366136</v>
      </c>
      <c r="O14" s="14">
        <f t="shared" si="2"/>
        <v>952.36049125369766</v>
      </c>
      <c r="P14" s="14">
        <f t="shared" si="1"/>
        <v>3324.5881819366136</v>
      </c>
      <c r="Q14" s="14">
        <f t="shared" si="6"/>
        <v>3994.5227024532255</v>
      </c>
      <c r="R14" s="7">
        <f t="shared" si="8"/>
        <v>0.55434539991006504</v>
      </c>
    </row>
    <row r="15" spans="1:19" ht="16.5" thickTop="1" thickBot="1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H15" s="33">
        <f>'V_1,1pu_DIG'!H15</f>
        <v>2435779.8134353934</v>
      </c>
      <c r="I15" s="8">
        <f t="shared" si="3"/>
        <v>3144928.8539277902</v>
      </c>
      <c r="J15" s="12">
        <f t="shared" si="4"/>
        <v>654.55109764290182</v>
      </c>
      <c r="K15" s="1">
        <f t="shared" si="5"/>
        <v>3528693.7242913367</v>
      </c>
      <c r="L15" s="1">
        <f t="shared" si="7"/>
        <v>3144928.8539277902</v>
      </c>
      <c r="M15" s="14">
        <f t="shared" si="0"/>
        <v>2435.7798134353934</v>
      </c>
      <c r="N15" s="14">
        <f t="shared" si="0"/>
        <v>3144.92885392779</v>
      </c>
      <c r="O15" s="14">
        <f t="shared" si="2"/>
        <v>946.00806962934962</v>
      </c>
      <c r="P15" s="14">
        <f t="shared" si="1"/>
        <v>3144.92885392779</v>
      </c>
      <c r="Q15" s="14">
        <f t="shared" si="6"/>
        <v>3977.8889873659023</v>
      </c>
      <c r="R15" s="7">
        <f t="shared" si="8"/>
        <v>0.61232976112999316</v>
      </c>
    </row>
    <row r="16" spans="1:19" ht="16.5" thickTop="1" thickBot="1">
      <c r="A16" s="21" t="s">
        <v>50</v>
      </c>
      <c r="B16" s="20">
        <f>B14*B15</f>
        <v>1.1831619047619049</v>
      </c>
      <c r="F16" s="16"/>
      <c r="H16" s="33">
        <f>'V_1,1pu_DIG'!H16</f>
        <v>2657214.34192952</v>
      </c>
      <c r="I16" s="8">
        <f t="shared" si="3"/>
        <v>2933759.2677230826</v>
      </c>
      <c r="J16" s="12">
        <f t="shared" si="4"/>
        <v>649.29086812594403</v>
      </c>
      <c r="K16" s="1">
        <f t="shared" si="5"/>
        <v>3504494.6009240029</v>
      </c>
      <c r="L16" s="1">
        <f t="shared" si="7"/>
        <v>2933759.2677230826</v>
      </c>
      <c r="M16" s="14">
        <f t="shared" si="0"/>
        <v>2657.2143419295198</v>
      </c>
      <c r="N16" s="14">
        <f t="shared" si="0"/>
        <v>2933.7592677230828</v>
      </c>
      <c r="O16" s="14">
        <f t="shared" si="2"/>
        <v>938.48594142009995</v>
      </c>
      <c r="P16" s="14">
        <f t="shared" si="1"/>
        <v>2933.7592677230828</v>
      </c>
      <c r="Q16" s="14">
        <f t="shared" si="6"/>
        <v>3958.2485394309197</v>
      </c>
      <c r="R16" s="7">
        <f t="shared" si="8"/>
        <v>0.67131063536286928</v>
      </c>
    </row>
    <row r="17" spans="1:18" ht="16.5" thickTop="1" thickBot="1">
      <c r="A17" s="21"/>
      <c r="B17" s="20"/>
      <c r="F17" s="16"/>
      <c r="H17" s="33">
        <f>'V_1,1pu_DIG'!H17</f>
        <v>2878648.8704236466</v>
      </c>
      <c r="I17" s="8">
        <f t="shared" si="3"/>
        <v>2682466.6050985018</v>
      </c>
      <c r="J17" s="12">
        <f t="shared" si="4"/>
        <v>642.97509994442294</v>
      </c>
      <c r="K17" s="1">
        <f t="shared" si="5"/>
        <v>3478162.6548782475</v>
      </c>
      <c r="L17" s="1">
        <f t="shared" si="7"/>
        <v>2682466.6050985018</v>
      </c>
      <c r="M17" s="14">
        <f t="shared" si="0"/>
        <v>2878.6488704236467</v>
      </c>
      <c r="N17" s="14">
        <f t="shared" si="0"/>
        <v>2682.466605098502</v>
      </c>
      <c r="O17" s="14">
        <f t="shared" si="2"/>
        <v>929.45439292052481</v>
      </c>
      <c r="P17" s="14">
        <f t="shared" si="1"/>
        <v>2682.466605098502</v>
      </c>
      <c r="Q17" s="14">
        <f t="shared" si="6"/>
        <v>3934.748582395071</v>
      </c>
      <c r="R17" s="7">
        <f t="shared" si="8"/>
        <v>0.73159664719198414</v>
      </c>
    </row>
    <row r="18" spans="1:18" ht="20.25" thickTop="1" thickBot="1">
      <c r="A18" s="23" t="s">
        <v>53</v>
      </c>
      <c r="B18" s="24">
        <f>MIN(B16,B11)</f>
        <v>1.1831619047619049</v>
      </c>
      <c r="F18" s="16"/>
      <c r="H18" s="33">
        <f>'V_1,1pu_DIG'!H18</f>
        <v>3100083.3989177733</v>
      </c>
      <c r="I18" s="8">
        <f t="shared" si="3"/>
        <v>2376035.6344356388</v>
      </c>
      <c r="J18" s="12">
        <f t="shared" si="4"/>
        <v>635.18856080237731</v>
      </c>
      <c r="K18" s="1">
        <f t="shared" si="5"/>
        <v>3449690.6348063126</v>
      </c>
      <c r="L18" s="1">
        <f t="shared" si="7"/>
        <v>2376035.6344356388</v>
      </c>
      <c r="M18" s="14">
        <f t="shared" si="0"/>
        <v>3100.0833989177731</v>
      </c>
      <c r="N18" s="14">
        <f t="shared" si="0"/>
        <v>2376.0356344356387</v>
      </c>
      <c r="O18" s="14">
        <f t="shared" si="2"/>
        <v>918.31964194739953</v>
      </c>
      <c r="P18" s="14">
        <f t="shared" si="1"/>
        <v>2376.0356344356387</v>
      </c>
      <c r="Q18" s="14">
        <f t="shared" si="6"/>
        <v>3905.9009737003757</v>
      </c>
      <c r="R18" s="7">
        <f t="shared" si="8"/>
        <v>0.79369226710855745</v>
      </c>
    </row>
    <row r="19" spans="1:18" ht="16.5" thickTop="1" thickBot="1">
      <c r="A19" s="21"/>
      <c r="B19" s="20"/>
      <c r="F19" s="16"/>
      <c r="H19" s="33">
        <f>'V_1,1pu_DIG'!H19</f>
        <v>3321517.9274118999</v>
      </c>
      <c r="I19" s="8">
        <f t="shared" si="3"/>
        <v>1983366.4907314428</v>
      </c>
      <c r="J19" s="12">
        <f t="shared" si="4"/>
        <v>625.06890416552926</v>
      </c>
      <c r="K19" s="1">
        <f t="shared" si="5"/>
        <v>3419070.6629833281</v>
      </c>
      <c r="L19" s="1">
        <f t="shared" si="7"/>
        <v>1983366.4907314428</v>
      </c>
      <c r="M19" s="14">
        <f t="shared" si="0"/>
        <v>3321.5179274119</v>
      </c>
      <c r="N19" s="14">
        <f t="shared" si="0"/>
        <v>1983.3664907314428</v>
      </c>
      <c r="O19" s="14">
        <f t="shared" si="2"/>
        <v>903.84853295670678</v>
      </c>
      <c r="P19" s="14">
        <f t="shared" si="1"/>
        <v>1983.3664907314428</v>
      </c>
      <c r="Q19" s="14">
        <f t="shared" si="6"/>
        <v>3868.6204231838256</v>
      </c>
      <c r="R19" s="7">
        <f t="shared" si="8"/>
        <v>0.8585794324784991</v>
      </c>
    </row>
    <row r="20" spans="1:18" ht="16.5" thickTop="1" thickBot="1">
      <c r="A20" s="21" t="s">
        <v>36</v>
      </c>
      <c r="B20" s="4">
        <f>(D8-10)/1.43</f>
        <v>658.39160839160843</v>
      </c>
      <c r="F20" s="16"/>
      <c r="H20" s="33">
        <f>'V_1,1pu_DIG'!H20</f>
        <v>3542952.4559060265</v>
      </c>
      <c r="I20" s="8">
        <f t="shared" si="3"/>
        <v>1411150.4533711052</v>
      </c>
      <c r="J20" s="12">
        <f t="shared" si="4"/>
        <v>610.02157112715736</v>
      </c>
      <c r="K20" s="1">
        <f t="shared" si="5"/>
        <v>3386294.2241688268</v>
      </c>
      <c r="L20" s="1">
        <f t="shared" si="7"/>
        <v>1411150.4533711052</v>
      </c>
      <c r="M20" s="14">
        <f t="shared" si="0"/>
        <v>3542.9524559060264</v>
      </c>
      <c r="N20" s="14">
        <f t="shared" si="0"/>
        <v>1411.1504533711052</v>
      </c>
      <c r="O20" s="14">
        <f t="shared" si="2"/>
        <v>882.33084671183497</v>
      </c>
      <c r="P20" s="14">
        <f t="shared" si="1"/>
        <v>1411.1504533711052</v>
      </c>
      <c r="Q20" s="14">
        <f t="shared" si="6"/>
        <v>3813.6410039304983</v>
      </c>
      <c r="R20" s="7">
        <f t="shared" si="8"/>
        <v>0.92902096769321263</v>
      </c>
    </row>
    <row r="21" spans="1:18" ht="16.5" thickTop="1" thickBot="1">
      <c r="A21" s="21" t="s">
        <v>34</v>
      </c>
      <c r="B21" s="5">
        <f>IF(B25=1,(IF(B9*B10&gt;B18,B18,B9*B10))*Ii_r,B26)</f>
        <v>1242.3200000000002</v>
      </c>
      <c r="F21" s="16"/>
      <c r="H21" s="33">
        <f>'V_1,1pu_DIG'!H21</f>
        <v>3598311.0880295583</v>
      </c>
      <c r="I21" s="8">
        <f t="shared" si="3"/>
        <v>1200096.1791691959</v>
      </c>
      <c r="J21" s="12">
        <f t="shared" si="4"/>
        <v>604.37699693777438</v>
      </c>
      <c r="K21" s="1">
        <f t="shared" si="5"/>
        <v>3377762.1069449438</v>
      </c>
      <c r="L21" s="1">
        <f t="shared" si="7"/>
        <v>1200096.1791691959</v>
      </c>
      <c r="M21" s="14">
        <f t="shared" si="0"/>
        <v>3598.3110880295585</v>
      </c>
      <c r="N21" s="14">
        <f t="shared" si="0"/>
        <v>1200.0961791691959</v>
      </c>
      <c r="O21" s="14">
        <f t="shared" si="2"/>
        <v>874.25910562101728</v>
      </c>
      <c r="P21" s="14">
        <f t="shared" si="1"/>
        <v>1200.0961791691959</v>
      </c>
      <c r="Q21" s="14">
        <f t="shared" si="6"/>
        <v>3793.1614156917931</v>
      </c>
      <c r="R21" s="7">
        <f t="shared" si="8"/>
        <v>0.94863115319686497</v>
      </c>
    </row>
    <row r="22" spans="1:18" ht="20.25" thickTop="1" thickBot="1">
      <c r="A22" s="21" t="s">
        <v>59</v>
      </c>
      <c r="B22" s="1">
        <f>Nm*SQRT(3)*B3*Ii/K_3^2</f>
        <v>3703995.749356301</v>
      </c>
      <c r="C22" s="25" t="s">
        <v>74</v>
      </c>
      <c r="D22" s="26">
        <f>B22/1000</f>
        <v>3703.9957493563011</v>
      </c>
      <c r="F22" s="16"/>
      <c r="H22" s="33">
        <f>'V_1,1pu_DIG'!H22</f>
        <v>3653669.7201530901</v>
      </c>
      <c r="I22" s="8">
        <f t="shared" si="3"/>
        <v>906796.25591369462</v>
      </c>
      <c r="J22" s="12">
        <f t="shared" si="4"/>
        <v>596.44409801048755</v>
      </c>
      <c r="K22" s="1">
        <f t="shared" si="5"/>
        <v>3369094.4913398679</v>
      </c>
      <c r="L22" s="1">
        <f t="shared" si="7"/>
        <v>906796.25591369462</v>
      </c>
      <c r="M22" s="14">
        <f t="shared" si="0"/>
        <v>3653.6697201530901</v>
      </c>
      <c r="N22" s="14">
        <f t="shared" si="0"/>
        <v>906.79625591369461</v>
      </c>
      <c r="O22" s="14">
        <f t="shared" si="2"/>
        <v>862.91506015499715</v>
      </c>
      <c r="P22" s="14">
        <f t="shared" si="1"/>
        <v>906.79625591369461</v>
      </c>
      <c r="Q22" s="14">
        <f t="shared" si="6"/>
        <v>3764.516153996773</v>
      </c>
      <c r="R22" s="7">
        <f t="shared" si="8"/>
        <v>0.97055493207912058</v>
      </c>
    </row>
    <row r="23" spans="1:18" ht="20.25" thickTop="1" thickBot="1">
      <c r="A23" s="21" t="s">
        <v>51</v>
      </c>
      <c r="B23" s="1">
        <f>B3*Ii*SQRT(3)*Nm</f>
        <v>3682094.0379639454</v>
      </c>
      <c r="C23" s="25" t="s">
        <v>52</v>
      </c>
      <c r="D23" s="26">
        <f>B23/1000</f>
        <v>3682.0940379639455</v>
      </c>
      <c r="F23" s="16"/>
      <c r="H23" s="33">
        <f>'V_1,1pu_DIG'!H23</f>
        <v>3709028.3522766219</v>
      </c>
      <c r="I23" s="8">
        <f t="shared" si="3"/>
        <v>369061.89641536732</v>
      </c>
      <c r="J23" s="12">
        <f t="shared" si="4"/>
        <v>581.7010308912794</v>
      </c>
      <c r="K23" s="1">
        <f t="shared" si="5"/>
        <v>3360291.2251275117</v>
      </c>
      <c r="L23" s="1">
        <f t="shared" si="7"/>
        <v>369061.89641536732</v>
      </c>
      <c r="M23" s="14">
        <f t="shared" si="0"/>
        <v>3709.0283522766217</v>
      </c>
      <c r="N23" s="14">
        <f t="shared" si="0"/>
        <v>369.0618964153673</v>
      </c>
      <c r="O23" s="14">
        <f t="shared" si="2"/>
        <v>841.83247417452947</v>
      </c>
      <c r="P23" s="14">
        <f t="shared" si="1"/>
        <v>369.0618964153673</v>
      </c>
      <c r="Q23" s="14">
        <f t="shared" si="6"/>
        <v>3727.3446314202743</v>
      </c>
      <c r="R23" s="7">
        <f t="shared" si="8"/>
        <v>0.99508597112559638</v>
      </c>
    </row>
    <row r="24" spans="1:18" ht="16.5" thickTop="1" thickBot="1">
      <c r="A24" s="27"/>
      <c r="F24" s="16"/>
      <c r="H24" s="33">
        <f>'V_1,1pu_DIG'!H24</f>
        <v>3764386.9844001536</v>
      </c>
      <c r="I24" s="8">
        <f t="shared" si="3"/>
        <v>369061.89641536732</v>
      </c>
      <c r="J24" s="12">
        <f t="shared" si="4"/>
        <v>581.98749462563262</v>
      </c>
      <c r="K24" s="1">
        <f t="shared" si="5"/>
        <v>3351352.1534659155</v>
      </c>
      <c r="L24" s="1">
        <f t="shared" si="7"/>
        <v>369061.89641536732</v>
      </c>
      <c r="M24" s="14">
        <f t="shared" si="0"/>
        <v>3764.3869844001538</v>
      </c>
      <c r="N24" s="14">
        <f t="shared" si="0"/>
        <v>369.0618964153673</v>
      </c>
      <c r="O24" s="14">
        <f t="shared" si="2"/>
        <v>842.24211731465459</v>
      </c>
      <c r="P24" s="14">
        <f t="shared" si="1"/>
        <v>369.0618964153673</v>
      </c>
      <c r="Q24" s="14">
        <f t="shared" si="6"/>
        <v>3782.4352012568556</v>
      </c>
      <c r="R24" s="7">
        <f t="shared" si="8"/>
        <v>0.99522841347005642</v>
      </c>
    </row>
    <row r="25" spans="1:18" ht="16.5" thickTop="1" thickBot="1">
      <c r="A25" s="3" t="s">
        <v>38</v>
      </c>
      <c r="B25" s="6">
        <f>Capability!B25</f>
        <v>1</v>
      </c>
      <c r="F25" s="16"/>
      <c r="H25" s="33">
        <f>'V_1,1pu_DIG'!H25</f>
        <v>3819745.6165236854</v>
      </c>
      <c r="I25" s="8">
        <f t="shared" si="3"/>
        <v>369061.89641536732</v>
      </c>
      <c r="J25" s="12">
        <f t="shared" si="4"/>
        <v>582.27805818813738</v>
      </c>
      <c r="K25" s="1">
        <f t="shared" si="5"/>
        <v>3342277.1188831693</v>
      </c>
      <c r="L25" s="1">
        <f t="shared" si="7"/>
        <v>369061.89641536732</v>
      </c>
      <c r="M25" s="14">
        <f t="shared" si="0"/>
        <v>3819.7456165236854</v>
      </c>
      <c r="N25" s="14">
        <f t="shared" si="0"/>
        <v>369.0618964153673</v>
      </c>
      <c r="O25" s="14">
        <f t="shared" si="2"/>
        <v>842.65762320903639</v>
      </c>
      <c r="P25" s="14">
        <f t="shared" si="1"/>
        <v>369.0618964153673</v>
      </c>
      <c r="Q25" s="14">
        <f t="shared" si="6"/>
        <v>3837.5334862822524</v>
      </c>
      <c r="R25" s="7">
        <f t="shared" si="8"/>
        <v>0.99536476494025339</v>
      </c>
    </row>
    <row r="26" spans="1:18" ht="16.5" thickTop="1" thickBot="1">
      <c r="A26" s="3" t="s">
        <v>25</v>
      </c>
      <c r="B26" s="6">
        <f>Capability!B26</f>
        <v>1250</v>
      </c>
      <c r="F26" s="16"/>
      <c r="H26" s="33">
        <f>'V_1,1pu_DIG'!H26</f>
        <v>3875104.2486472172</v>
      </c>
      <c r="I26" s="8">
        <f t="shared" si="3"/>
        <v>369061.89641536732</v>
      </c>
      <c r="J26" s="12">
        <f t="shared" si="4"/>
        <v>582.57271544431137</v>
      </c>
      <c r="K26" s="1">
        <f t="shared" si="5"/>
        <v>3333065.9612630876</v>
      </c>
      <c r="L26" s="1">
        <f t="shared" si="7"/>
        <v>369061.89641536732</v>
      </c>
      <c r="M26" s="14">
        <f t="shared" si="0"/>
        <v>3875.104248647217</v>
      </c>
      <c r="N26" s="14">
        <f t="shared" si="0"/>
        <v>369.0618964153673</v>
      </c>
      <c r="O26" s="14">
        <f t="shared" si="2"/>
        <v>843.07898308536528</v>
      </c>
      <c r="P26" s="14">
        <f t="shared" si="1"/>
        <v>369.0618964153673</v>
      </c>
      <c r="Q26" s="14">
        <f t="shared" si="6"/>
        <v>3892.6391588830088</v>
      </c>
      <c r="R26" s="7">
        <f t="shared" si="8"/>
        <v>0.99549536714807563</v>
      </c>
    </row>
    <row r="27" spans="1:18" ht="16.5" thickTop="1" thickBot="1">
      <c r="A27" s="27"/>
      <c r="F27" s="16"/>
      <c r="H27" s="33">
        <f>'V_1,1pu_DIG'!H27</f>
        <v>3930462.8807707489</v>
      </c>
      <c r="I27" s="8">
        <f t="shared" si="3"/>
        <v>369061.89641536732</v>
      </c>
      <c r="J27" s="12">
        <f t="shared" si="4"/>
        <v>582.87146018573685</v>
      </c>
      <c r="K27" s="1">
        <f t="shared" si="5"/>
        <v>3323718.5178305777</v>
      </c>
      <c r="L27" s="1">
        <f t="shared" si="7"/>
        <v>369061.89641536732</v>
      </c>
      <c r="M27" s="14">
        <f t="shared" si="0"/>
        <v>3930.4628807707491</v>
      </c>
      <c r="N27" s="14">
        <f t="shared" si="0"/>
        <v>369.0618964153673</v>
      </c>
      <c r="O27" s="14">
        <f t="shared" si="2"/>
        <v>843.50618806560362</v>
      </c>
      <c r="P27" s="14">
        <f t="shared" si="1"/>
        <v>369.0618964153673</v>
      </c>
      <c r="Q27" s="14">
        <f t="shared" si="6"/>
        <v>3947.7519096952383</v>
      </c>
      <c r="R27" s="7">
        <f t="shared" si="8"/>
        <v>0.99562053813918006</v>
      </c>
    </row>
    <row r="28" spans="1:18" ht="16.5" thickTop="1" thickBot="1">
      <c r="A28" s="27" t="s">
        <v>73</v>
      </c>
      <c r="F28" s="16"/>
      <c r="H28" s="33">
        <f>'V_1,1pu_DIG'!H28</f>
        <v>3985821.5128942807</v>
      </c>
      <c r="I28" s="8">
        <f t="shared" si="3"/>
        <v>369061.89641536732</v>
      </c>
      <c r="J28" s="12">
        <f t="shared" si="4"/>
        <v>583.17428613068228</v>
      </c>
      <c r="K28" s="1">
        <f t="shared" si="5"/>
        <v>3314234.6231367392</v>
      </c>
      <c r="L28" s="1">
        <f t="shared" si="7"/>
        <v>369061.89641536732</v>
      </c>
      <c r="M28" s="14">
        <f t="shared" si="0"/>
        <v>3985.8215128942807</v>
      </c>
      <c r="N28" s="14">
        <f t="shared" si="0"/>
        <v>369.0618964153673</v>
      </c>
      <c r="O28" s="14">
        <f t="shared" si="2"/>
        <v>843.93922916687563</v>
      </c>
      <c r="P28" s="14">
        <f t="shared" si="1"/>
        <v>369.0618964153673</v>
      </c>
      <c r="Q28" s="14">
        <f t="shared" si="6"/>
        <v>4002.8714463540496</v>
      </c>
      <c r="R28" s="7">
        <f t="shared" si="8"/>
        <v>0.99574057431314744</v>
      </c>
    </row>
    <row r="29" spans="1:18" ht="16.5" thickTop="1" thickBot="1">
      <c r="A29" s="3" t="s">
        <v>54</v>
      </c>
      <c r="B29" s="6">
        <f>Capability!B29</f>
        <v>2846</v>
      </c>
      <c r="C29" s="2">
        <f>IF(B29&gt;D23,D23,B29)</f>
        <v>2846</v>
      </c>
      <c r="F29" s="16"/>
      <c r="H29" s="33">
        <f>'V_1,1pu_DIG'!H29</f>
        <v>4041180.1450178125</v>
      </c>
      <c r="I29" s="8">
        <f t="shared" si="3"/>
        <v>369061.89641536732</v>
      </c>
      <c r="J29" s="12">
        <f t="shared" si="4"/>
        <v>583.48118692473065</v>
      </c>
      <c r="K29" s="1">
        <f t="shared" si="5"/>
        <v>3304614.1090436988</v>
      </c>
      <c r="L29" s="1">
        <f t="shared" si="7"/>
        <v>369061.89641536732</v>
      </c>
      <c r="M29" s="14">
        <f t="shared" si="0"/>
        <v>4041.1801450178127</v>
      </c>
      <c r="N29" s="14">
        <f t="shared" si="0"/>
        <v>369.0618964153673</v>
      </c>
      <c r="O29" s="14">
        <f t="shared" si="2"/>
        <v>844.37809730236484</v>
      </c>
      <c r="P29" s="14">
        <f t="shared" si="1"/>
        <v>369.0618964153673</v>
      </c>
      <c r="Q29" s="14">
        <f t="shared" si="6"/>
        <v>4057.9974923442101</v>
      </c>
      <c r="R29" s="7">
        <f t="shared" si="8"/>
        <v>0.99585575216393685</v>
      </c>
    </row>
    <row r="30" spans="1:18" ht="16.5" thickTop="1" thickBot="1">
      <c r="A30" s="27"/>
      <c r="B30" s="1" t="s">
        <v>69</v>
      </c>
      <c r="C30" s="1">
        <f xml:space="preserve"> Nm/1000*(-SQRT(3/K_3^2*Ii^2*B3^2-($C$29*1000/Nm)^2)+B3^2*K_4/K_3)</f>
        <v>-1984.3918773708601</v>
      </c>
      <c r="F30" s="16"/>
      <c r="H30" s="33">
        <f>'V_1,1pu_DIG'!H30</f>
        <v>4096538.7771413443</v>
      </c>
      <c r="I30" s="8">
        <f t="shared" si="3"/>
        <v>369061.89641536732</v>
      </c>
      <c r="J30" s="12">
        <f t="shared" si="4"/>
        <v>583.79215614141106</v>
      </c>
      <c r="K30" s="1">
        <f t="shared" si="5"/>
        <v>3294856.8047091113</v>
      </c>
      <c r="L30" s="1">
        <f t="shared" si="7"/>
        <v>369061.89641536732</v>
      </c>
      <c r="M30" s="14">
        <f t="shared" si="0"/>
        <v>4096.5387771413443</v>
      </c>
      <c r="N30" s="14">
        <f t="shared" si="0"/>
        <v>369.0618964153673</v>
      </c>
      <c r="O30" s="14">
        <f t="shared" si="2"/>
        <v>844.82278328221776</v>
      </c>
      <c r="P30" s="14">
        <f t="shared" si="1"/>
        <v>369.0618964153673</v>
      </c>
      <c r="Q30" s="14">
        <f t="shared" si="6"/>
        <v>4113.1297859426231</v>
      </c>
      <c r="R30" s="7">
        <f t="shared" si="8"/>
        <v>0.9959663298595679</v>
      </c>
    </row>
    <row r="31" spans="1:18" ht="16.5" thickTop="1" thickBot="1">
      <c r="A31" s="27"/>
      <c r="B31" s="1" t="s">
        <v>68</v>
      </c>
      <c r="C31" s="1">
        <f>IF(ABS( Nm/1000*(SQRT(3/K_3^2*Ii^2*B3^2-($C$29*1000/Nm)^2)+B3^2*K_4/K_3))&lt;ABS(Nm/1000*(SQRT(Vi^2*B3^2/K_2^2-($C$29*1000/Nm)^2)-B3^2*K_1/K_2)),Nm/1000*(SQRT(3/K_3^2*Ii^2*B3^2-($C$29*1000/Nm)^2)+B3^2*K_4/K_3), Nm/1000*(SQRT(Vi^2*B3^2/K_2^2-($C$29*1000/Nm)^2)-B3^2*K_1/K_2))</f>
        <v>2722.5156702015947</v>
      </c>
      <c r="F31" s="16"/>
      <c r="H31" s="33">
        <f>'V_1,1pu_DIG'!H31</f>
        <v>4151897.409264876</v>
      </c>
      <c r="I31" s="8">
        <f t="shared" si="3"/>
        <v>369061.89641536732</v>
      </c>
      <c r="J31" s="12">
        <f t="shared" si="4"/>
        <v>584.10718728283643</v>
      </c>
      <c r="K31" s="1">
        <f t="shared" si="5"/>
        <v>3284962.5365704224</v>
      </c>
      <c r="L31" s="1">
        <f t="shared" si="7"/>
        <v>369061.89641536732</v>
      </c>
      <c r="M31" s="14">
        <f t="shared" si="0"/>
        <v>4151.8974092648759</v>
      </c>
      <c r="N31" s="14">
        <f t="shared" si="0"/>
        <v>369.0618964153673</v>
      </c>
      <c r="O31" s="14">
        <f t="shared" si="2"/>
        <v>845.27327781445604</v>
      </c>
      <c r="P31" s="14">
        <f t="shared" si="1"/>
        <v>369.0618964153673</v>
      </c>
      <c r="Q31" s="14">
        <f t="shared" si="6"/>
        <v>4168.2680792441961</v>
      </c>
      <c r="R31" s="7">
        <f t="shared" si="8"/>
        <v>0.99607254867774997</v>
      </c>
    </row>
    <row r="32" spans="1:18" ht="16.5" thickTop="1" thickBot="1">
      <c r="A32" s="3" t="s">
        <v>55</v>
      </c>
      <c r="B32" s="6">
        <f>Capability!B32</f>
        <v>0</v>
      </c>
      <c r="C32" s="2">
        <f>IF(B32&lt;C30,C30,IF(B32&gt;C31,C31,B32))</f>
        <v>0</v>
      </c>
      <c r="F32" s="16"/>
      <c r="H32" s="33">
        <f>'V_1,1pu_DIG'!H32</f>
        <v>4207256.0413884073</v>
      </c>
      <c r="I32" s="8">
        <f t="shared" si="3"/>
        <v>369061.89641536732</v>
      </c>
      <c r="J32" s="12">
        <f t="shared" si="4"/>
        <v>584.42627378034513</v>
      </c>
      <c r="K32" s="1">
        <f t="shared" si="5"/>
        <v>3274931.1283287965</v>
      </c>
      <c r="L32" s="1">
        <f t="shared" si="7"/>
        <v>369061.89641536732</v>
      </c>
      <c r="M32" s="14">
        <f t="shared" si="0"/>
        <v>4207.2560413884075</v>
      </c>
      <c r="N32" s="14">
        <f t="shared" si="0"/>
        <v>369.0618964153673</v>
      </c>
      <c r="O32" s="14">
        <f t="shared" si="2"/>
        <v>845.72957150589355</v>
      </c>
      <c r="P32" s="14">
        <f t="shared" si="1"/>
        <v>369.0618964153673</v>
      </c>
      <c r="Q32" s="14">
        <f t="shared" si="6"/>
        <v>4223.4121372635373</v>
      </c>
      <c r="R32" s="7">
        <f t="shared" si="8"/>
        <v>0.99617463431224651</v>
      </c>
    </row>
    <row r="33" spans="1:18" ht="16.5" thickTop="1" thickBot="1">
      <c r="A33" s="21" t="s">
        <v>56</v>
      </c>
      <c r="B33" s="1">
        <f>C29/SQRT(C29^2+C32^2)</f>
        <v>1</v>
      </c>
      <c r="C33" s="1" t="s">
        <v>60</v>
      </c>
      <c r="D33" s="1">
        <f>SQRT(C29^2+C32^2)/(SQRT(3)*B3)*1000</f>
        <v>2880.6782365246759</v>
      </c>
      <c r="F33" s="16"/>
      <c r="H33" s="33">
        <f>'V_1,1pu_DIG'!H33</f>
        <v>4262614.6735119391</v>
      </c>
      <c r="I33" s="8">
        <f t="shared" si="3"/>
        <v>369061.89641536732</v>
      </c>
      <c r="J33" s="12">
        <f t="shared" si="4"/>
        <v>584.74940899514797</v>
      </c>
      <c r="K33" s="1">
        <f t="shared" si="5"/>
        <v>3264762.4009327646</v>
      </c>
      <c r="L33" s="1">
        <f t="shared" si="7"/>
        <v>369061.89641536732</v>
      </c>
      <c r="M33" s="14">
        <f t="shared" si="0"/>
        <v>4262.6146735119391</v>
      </c>
      <c r="N33" s="14">
        <f t="shared" si="0"/>
        <v>369.0618964153673</v>
      </c>
      <c r="O33" s="14">
        <f t="shared" si="2"/>
        <v>846.19165486306156</v>
      </c>
      <c r="P33" s="14">
        <f t="shared" si="1"/>
        <v>369.0618964153673</v>
      </c>
      <c r="Q33" s="14">
        <f t="shared" si="6"/>
        <v>4278.5617371057069</v>
      </c>
      <c r="R33" s="7">
        <f t="shared" si="8"/>
        <v>0.996272798063081</v>
      </c>
    </row>
    <row r="34" spans="1:18" ht="20.25" thickTop="1" thickBot="1">
      <c r="A34" s="23" t="s">
        <v>57</v>
      </c>
      <c r="B34" s="25">
        <f>Vdc_offset+Vac_to_Vdc*SQRT(3)*SQRT(K_1^2*B3^2/3+K_2^2/3*($C$29^2+$C$32^2)*1000^2/B3^2/Nm^2+2/3*K_1*K_2*$C$32*1000/Nm)</f>
        <v>821.37967069675733</v>
      </c>
      <c r="F34" s="16"/>
      <c r="H34" s="33">
        <f>'V_1,1pu_DIG'!H34</f>
        <v>4317973.3056354709</v>
      </c>
      <c r="I34" s="8">
        <f t="shared" si="3"/>
        <v>369061.89641536732</v>
      </c>
      <c r="J34" s="12">
        <f t="shared" si="4"/>
        <v>585.07658621897917</v>
      </c>
      <c r="K34" s="1">
        <f t="shared" si="5"/>
        <v>3254456.1725615719</v>
      </c>
      <c r="L34" s="1">
        <f t="shared" si="7"/>
        <v>369061.89641536732</v>
      </c>
      <c r="M34" s="14">
        <f t="shared" si="0"/>
        <v>4317.9733056354708</v>
      </c>
      <c r="N34" s="14">
        <f t="shared" si="0"/>
        <v>369.0618964153673</v>
      </c>
      <c r="O34" s="14">
        <f t="shared" si="2"/>
        <v>846.6595182931402</v>
      </c>
      <c r="P34" s="14">
        <f t="shared" si="1"/>
        <v>369.0618964153673</v>
      </c>
      <c r="Q34" s="14">
        <f t="shared" si="6"/>
        <v>4333.7166671999012</v>
      </c>
      <c r="R34" s="7">
        <f t="shared" si="8"/>
        <v>0.99636723792222381</v>
      </c>
    </row>
    <row r="35" spans="1:18" ht="16.5" thickTop="1" thickBot="1">
      <c r="A35" s="21" t="s">
        <v>58</v>
      </c>
      <c r="B35" s="1">
        <f>SQRT(3)*SQRT(K_1^2*B3^2/3+K_2^2/3*($C$29^2+$C$32^2)*1000^2/B3^2/Nm^2+2/3*K_1*K_2*$C$32*1000/Nm)</f>
        <v>567.39837111661348</v>
      </c>
      <c r="F35" s="16"/>
      <c r="H35" s="33">
        <f>'V_1,1pu_DIG'!H35</f>
        <v>4373331.9377590027</v>
      </c>
      <c r="I35" s="8">
        <f t="shared" si="3"/>
        <v>369061.89641536732</v>
      </c>
      <c r="J35" s="12">
        <f t="shared" si="4"/>
        <v>585.40779867475101</v>
      </c>
      <c r="K35" s="1">
        <f t="shared" si="5"/>
        <v>3244012.2586082071</v>
      </c>
      <c r="L35" s="1">
        <f t="shared" si="7"/>
        <v>369061.89641536732</v>
      </c>
      <c r="M35" s="14">
        <f t="shared" si="0"/>
        <v>4373.3319377590024</v>
      </c>
      <c r="N35" s="14">
        <f t="shared" si="0"/>
        <v>369.0618964153673</v>
      </c>
      <c r="O35" s="14">
        <f t="shared" si="2"/>
        <v>847.13315210489395</v>
      </c>
      <c r="P35" s="14">
        <f t="shared" si="1"/>
        <v>369.0618964153673</v>
      </c>
      <c r="Q35" s="14">
        <f t="shared" si="6"/>
        <v>4388.8767265905999</v>
      </c>
      <c r="R35" s="7">
        <f t="shared" si="8"/>
        <v>0.99645813956509255</v>
      </c>
    </row>
    <row r="36" spans="1:18" ht="16.5" thickTop="1" thickBot="1">
      <c r="F36" s="16"/>
      <c r="H36" s="33">
        <f>'V_1,1pu_DIG'!H36</f>
        <v>4428690.5698825344</v>
      </c>
      <c r="I36" s="8">
        <f t="shared" si="3"/>
        <v>369061.89641536732</v>
      </c>
      <c r="J36" s="12">
        <f t="shared" ref="J36:J67" si="9">SQRT(3)*SQRT(($B$3/SQRT(3)*K_1+SQRT(H36^2+I36^2)/SQRT(3)/$B$3/Nm*I36/SQRT(H36^2+I36^2)*K_2)^2+(SQRT(H36^2+I36^2)/SQRT(3)/$B$3/Nm*H36/SQRT(H36^2+I36^2)*K_2)^2)</f>
        <v>585.74303951721413</v>
      </c>
      <c r="K36" s="1">
        <f t="shared" ref="K36:K68" si="10">Nm*(-SQRT(Vi^2*$B$3^2/K_2^2-(H36/Nm)^2)-$B$3^2*K_1/K_2)</f>
        <v>-42803779.898517847</v>
      </c>
      <c r="L36" s="1">
        <f t="shared" si="7"/>
        <v>369061.89641536732</v>
      </c>
      <c r="M36" s="14">
        <f t="shared" si="0"/>
        <v>4428.6905698825349</v>
      </c>
      <c r="N36" s="14">
        <f t="shared" si="0"/>
        <v>369.0618964153673</v>
      </c>
      <c r="O36" s="14">
        <f t="shared" si="2"/>
        <v>847.61254650961621</v>
      </c>
      <c r="P36" s="14">
        <f t="shared" si="1"/>
        <v>369.0618964153673</v>
      </c>
      <c r="Q36" s="14">
        <f t="shared" si="6"/>
        <v>4444.0417242811973</v>
      </c>
      <c r="R36" s="7">
        <f t="shared" si="8"/>
        <v>0.99654567725708165</v>
      </c>
    </row>
    <row r="37" spans="1:18" ht="16.5" thickTop="1" thickBot="1">
      <c r="F37" s="16"/>
      <c r="H37" s="33">
        <f>'V_1,1pu_DIG'!H37</f>
        <v>4373331.9377590027</v>
      </c>
      <c r="I37" s="8">
        <f t="shared" ref="I37:I68" si="11">Nm*(-SQRT(IF(3/K_3^2*Ii^2*$B$3^2-(H37/Nm)^2&lt;0.0000000001,0,3/K_3^2*Ii^2*$B$3^2-(H37/Nm)^2))+$B$3^2/K_3*K_4)</f>
        <v>369061.89641536732</v>
      </c>
      <c r="J37" s="12">
        <f t="shared" si="9"/>
        <v>585.40779867475101</v>
      </c>
      <c r="K37" s="1">
        <f t="shared" si="10"/>
        <v>-42814361.685463905</v>
      </c>
      <c r="L37" s="1">
        <f t="shared" si="7"/>
        <v>369061.89641536732</v>
      </c>
      <c r="M37" s="14">
        <f t="shared" si="0"/>
        <v>4373.3319377590024</v>
      </c>
      <c r="N37" s="14">
        <f t="shared" si="0"/>
        <v>369.0618964153673</v>
      </c>
      <c r="O37" s="14">
        <f t="shared" si="2"/>
        <v>847.13315210489395</v>
      </c>
      <c r="P37" s="14">
        <f t="shared" si="1"/>
        <v>369.0618964153673</v>
      </c>
      <c r="Q37" s="14">
        <f t="shared" si="6"/>
        <v>4388.8767265905999</v>
      </c>
      <c r="R37" s="7">
        <f t="shared" si="8"/>
        <v>0.99645813956509255</v>
      </c>
    </row>
    <row r="38" spans="1:18" ht="16.5" thickTop="1" thickBot="1">
      <c r="F38" s="16"/>
      <c r="H38" s="33">
        <f>'V_1,1pu_DIG'!H38</f>
        <v>4317973.3056354709</v>
      </c>
      <c r="I38" s="8">
        <f t="shared" si="11"/>
        <v>369061.89641536732</v>
      </c>
      <c r="J38" s="12">
        <f t="shared" si="9"/>
        <v>585.07658621897917</v>
      </c>
      <c r="K38" s="1">
        <f t="shared" si="10"/>
        <v>-42824805.599417277</v>
      </c>
      <c r="L38" s="1">
        <f t="shared" si="7"/>
        <v>369061.89641536732</v>
      </c>
      <c r="M38" s="14">
        <f t="shared" si="0"/>
        <v>4317.9733056354708</v>
      </c>
      <c r="N38" s="14">
        <f t="shared" si="0"/>
        <v>369.0618964153673</v>
      </c>
      <c r="O38" s="14">
        <f t="shared" si="2"/>
        <v>846.6595182931402</v>
      </c>
      <c r="P38" s="14">
        <f t="shared" si="1"/>
        <v>369.0618964153673</v>
      </c>
      <c r="Q38" s="14">
        <f t="shared" si="6"/>
        <v>4333.7166671999012</v>
      </c>
      <c r="R38" s="7">
        <f t="shared" si="8"/>
        <v>0.99636723792222381</v>
      </c>
    </row>
    <row r="39" spans="1:18" ht="16.5" thickTop="1" thickBot="1">
      <c r="F39" s="16"/>
      <c r="H39" s="33">
        <f>'V_1,1pu_DIG'!H39</f>
        <v>4262614.6735119391</v>
      </c>
      <c r="I39" s="8">
        <f t="shared" si="11"/>
        <v>369061.89641536732</v>
      </c>
      <c r="J39" s="12">
        <f t="shared" si="9"/>
        <v>584.74940899514797</v>
      </c>
      <c r="K39" s="1">
        <f t="shared" si="10"/>
        <v>-42835111.827788465</v>
      </c>
      <c r="L39" s="1">
        <f t="shared" si="7"/>
        <v>369061.89641536732</v>
      </c>
      <c r="M39" s="14">
        <f t="shared" si="0"/>
        <v>4262.6146735119391</v>
      </c>
      <c r="N39" s="14">
        <f t="shared" si="0"/>
        <v>369.0618964153673</v>
      </c>
      <c r="O39" s="14">
        <f t="shared" si="2"/>
        <v>846.19165486306156</v>
      </c>
      <c r="P39" s="14">
        <f t="shared" si="1"/>
        <v>369.0618964153673</v>
      </c>
      <c r="Q39" s="14">
        <f t="shared" si="6"/>
        <v>4278.5617371057069</v>
      </c>
      <c r="R39" s="7">
        <f t="shared" si="8"/>
        <v>0.996272798063081</v>
      </c>
    </row>
    <row r="40" spans="1:18" ht="16.5" thickTop="1" thickBot="1">
      <c r="F40" s="16"/>
      <c r="H40" s="33">
        <f>'V_1,1pu_DIG'!H40</f>
        <v>4207256.0413884073</v>
      </c>
      <c r="I40" s="8">
        <f t="shared" si="11"/>
        <v>369061.89641536732</v>
      </c>
      <c r="J40" s="12">
        <f t="shared" si="9"/>
        <v>584.42627378034513</v>
      </c>
      <c r="K40" s="1">
        <f t="shared" si="10"/>
        <v>-42845280.555184498</v>
      </c>
      <c r="L40" s="1">
        <f t="shared" si="7"/>
        <v>369061.89641536732</v>
      </c>
      <c r="M40" s="14">
        <f t="shared" si="0"/>
        <v>4207.2560413884075</v>
      </c>
      <c r="N40" s="14">
        <f t="shared" si="0"/>
        <v>369.0618964153673</v>
      </c>
      <c r="O40" s="14">
        <f t="shared" si="2"/>
        <v>845.72957150589355</v>
      </c>
      <c r="P40" s="14">
        <f t="shared" si="1"/>
        <v>369.0618964153673</v>
      </c>
      <c r="Q40" s="14">
        <f t="shared" si="6"/>
        <v>4223.4121372635373</v>
      </c>
      <c r="R40" s="7">
        <f t="shared" si="8"/>
        <v>0.99617463431224651</v>
      </c>
    </row>
    <row r="41" spans="1:18" ht="16.5" thickTop="1" thickBot="1">
      <c r="F41" s="16"/>
      <c r="H41" s="33">
        <f>'V_1,1pu_DIG'!H41</f>
        <v>4151897.4092648756</v>
      </c>
      <c r="I41" s="8">
        <f t="shared" si="11"/>
        <v>369061.89641536732</v>
      </c>
      <c r="J41" s="12">
        <f t="shared" si="9"/>
        <v>584.10718728283643</v>
      </c>
      <c r="K41" s="1">
        <f t="shared" si="10"/>
        <v>-42855311.963426128</v>
      </c>
      <c r="L41" s="1">
        <f t="shared" si="7"/>
        <v>369061.89641536732</v>
      </c>
      <c r="M41" s="14">
        <f t="shared" si="0"/>
        <v>4151.8974092648759</v>
      </c>
      <c r="N41" s="14">
        <f t="shared" si="0"/>
        <v>369.0618964153673</v>
      </c>
      <c r="O41" s="14">
        <f t="shared" si="2"/>
        <v>845.27327781445604</v>
      </c>
      <c r="P41" s="14">
        <f t="shared" si="1"/>
        <v>369.0618964153673</v>
      </c>
      <c r="Q41" s="14">
        <f t="shared" si="6"/>
        <v>4168.2680792441961</v>
      </c>
      <c r="R41" s="7">
        <f t="shared" si="8"/>
        <v>0.99607254867774997</v>
      </c>
    </row>
    <row r="42" spans="1:18" ht="16.5" thickTop="1" thickBot="1">
      <c r="F42" s="16"/>
      <c r="H42" s="33">
        <f>'V_1,1pu_DIG'!H42</f>
        <v>4096538.7771413438</v>
      </c>
      <c r="I42" s="8">
        <f t="shared" si="11"/>
        <v>369061.89641536732</v>
      </c>
      <c r="J42" s="12">
        <f t="shared" si="9"/>
        <v>583.79215614141106</v>
      </c>
      <c r="K42" s="1">
        <f t="shared" si="10"/>
        <v>-42865206.23156482</v>
      </c>
      <c r="L42" s="1">
        <f t="shared" si="7"/>
        <v>369061.89641536732</v>
      </c>
      <c r="M42" s="14">
        <f t="shared" si="0"/>
        <v>4096.5387771413434</v>
      </c>
      <c r="N42" s="14">
        <f t="shared" si="0"/>
        <v>369.0618964153673</v>
      </c>
      <c r="O42" s="14">
        <f t="shared" si="2"/>
        <v>844.82278328221776</v>
      </c>
      <c r="P42" s="14">
        <f t="shared" si="1"/>
        <v>369.0618964153673</v>
      </c>
      <c r="Q42" s="14">
        <f t="shared" si="6"/>
        <v>4113.1297859426222</v>
      </c>
      <c r="R42" s="7">
        <f t="shared" si="8"/>
        <v>0.9959663298595679</v>
      </c>
    </row>
    <row r="43" spans="1:18" ht="16.5" thickTop="1" thickBot="1">
      <c r="F43" s="16"/>
      <c r="H43" s="33">
        <f>'V_1,1pu_DIG'!H43</f>
        <v>4041180.145017812</v>
      </c>
      <c r="I43" s="8">
        <f t="shared" si="11"/>
        <v>369061.89641536732</v>
      </c>
      <c r="J43" s="12">
        <f t="shared" si="9"/>
        <v>583.48118692473065</v>
      </c>
      <c r="K43" s="1">
        <f t="shared" si="10"/>
        <v>-42874963.535899401</v>
      </c>
      <c r="L43" s="1">
        <f t="shared" si="7"/>
        <v>369061.89641536732</v>
      </c>
      <c r="M43" s="14">
        <f t="shared" si="0"/>
        <v>4041.1801450178118</v>
      </c>
      <c r="N43" s="14">
        <f t="shared" si="0"/>
        <v>369.0618964153673</v>
      </c>
      <c r="O43" s="14">
        <f t="shared" si="2"/>
        <v>844.37809730236484</v>
      </c>
      <c r="P43" s="14">
        <f t="shared" si="1"/>
        <v>369.0618964153673</v>
      </c>
      <c r="Q43" s="14">
        <f t="shared" si="6"/>
        <v>4057.9974923442091</v>
      </c>
      <c r="R43" s="7">
        <f t="shared" si="8"/>
        <v>0.99585575216393685</v>
      </c>
    </row>
    <row r="44" spans="1:18" ht="16.5" thickTop="1" thickBot="1">
      <c r="F44" s="16"/>
      <c r="H44" s="33">
        <f>'V_1,1pu_DIG'!H44</f>
        <v>3985821.5128942803</v>
      </c>
      <c r="I44" s="8">
        <f t="shared" si="11"/>
        <v>369061.89641536732</v>
      </c>
      <c r="J44" s="12">
        <f t="shared" si="9"/>
        <v>583.17428613068228</v>
      </c>
      <c r="K44" s="1">
        <f t="shared" si="10"/>
        <v>-42884584.049992442</v>
      </c>
      <c r="L44" s="1">
        <f t="shared" si="7"/>
        <v>369061.89641536732</v>
      </c>
      <c r="M44" s="14">
        <f t="shared" si="0"/>
        <v>3985.8215128942802</v>
      </c>
      <c r="N44" s="14">
        <f t="shared" si="0"/>
        <v>369.0618964153673</v>
      </c>
      <c r="O44" s="14">
        <f t="shared" si="2"/>
        <v>843.93922916687563</v>
      </c>
      <c r="P44" s="14">
        <f t="shared" si="1"/>
        <v>369.0618964153673</v>
      </c>
      <c r="Q44" s="14">
        <f t="shared" si="6"/>
        <v>4002.8714463540491</v>
      </c>
      <c r="R44" s="7">
        <f t="shared" si="8"/>
        <v>0.99574057431314744</v>
      </c>
    </row>
    <row r="45" spans="1:18" ht="16.5" thickTop="1" thickBot="1">
      <c r="F45" s="16"/>
      <c r="H45" s="33">
        <f>'V_1,1pu_DIG'!H45</f>
        <v>3930462.8807707485</v>
      </c>
      <c r="I45" s="8">
        <f t="shared" si="11"/>
        <v>369061.89641536732</v>
      </c>
      <c r="J45" s="12">
        <f t="shared" si="9"/>
        <v>582.87146018573685</v>
      </c>
      <c r="K45" s="1">
        <f t="shared" si="10"/>
        <v>-42894067.944686279</v>
      </c>
      <c r="L45" s="1">
        <f t="shared" ref="L45:L56" si="12">IF(ABS(I45)&lt;ABS(K45),I45,K45)</f>
        <v>369061.89641536732</v>
      </c>
      <c r="M45" s="14">
        <f t="shared" ref="M45:M56" si="13">H45/1000</f>
        <v>3930.4628807707486</v>
      </c>
      <c r="N45" s="14">
        <f t="shared" ref="N45:N56" si="14">I45/1000</f>
        <v>369.0618964153673</v>
      </c>
      <c r="O45" s="14">
        <f t="shared" ref="O45:O56" si="15">J45*1.43+10</f>
        <v>843.50618806560362</v>
      </c>
      <c r="P45" s="14">
        <f t="shared" ref="P45:P56" si="16">L45/1000</f>
        <v>369.0618964153673</v>
      </c>
      <c r="Q45" s="14">
        <f t="shared" ref="Q45:Q56" si="17">SQRT(M45^2+P45^2)</f>
        <v>3947.7519096952378</v>
      </c>
      <c r="R45" s="7">
        <f t="shared" ref="R45:R56" si="18">M45/SQRT(M45^2+P45^2)</f>
        <v>0.99562053813918006</v>
      </c>
    </row>
    <row r="46" spans="1:18" ht="16.5" thickTop="1" thickBot="1">
      <c r="F46" s="16"/>
      <c r="H46" s="33">
        <f>'V_1,1pu_DIG'!H46</f>
        <v>3875104.2486472167</v>
      </c>
      <c r="I46" s="8">
        <f t="shared" si="11"/>
        <v>369061.89641536732</v>
      </c>
      <c r="J46" s="12">
        <f t="shared" si="9"/>
        <v>582.57271544431137</v>
      </c>
      <c r="K46" s="1">
        <f t="shared" si="10"/>
        <v>-42903415.388118789</v>
      </c>
      <c r="L46" s="1">
        <f t="shared" si="12"/>
        <v>369061.89641536732</v>
      </c>
      <c r="M46" s="14">
        <f t="shared" si="13"/>
        <v>3875.1042486472165</v>
      </c>
      <c r="N46" s="14">
        <f t="shared" si="14"/>
        <v>369.0618964153673</v>
      </c>
      <c r="O46" s="14">
        <f t="shared" si="15"/>
        <v>843.07898308536528</v>
      </c>
      <c r="P46" s="14">
        <f t="shared" si="16"/>
        <v>369.0618964153673</v>
      </c>
      <c r="Q46" s="14">
        <f t="shared" si="17"/>
        <v>3892.6391588830083</v>
      </c>
      <c r="R46" s="7">
        <f t="shared" si="18"/>
        <v>0.99549536714807563</v>
      </c>
    </row>
    <row r="47" spans="1:18" ht="16.5" thickTop="1" thickBot="1">
      <c r="F47" s="16"/>
      <c r="H47" s="33">
        <f>'V_1,1pu_DIG'!H47</f>
        <v>3819745.6165236849</v>
      </c>
      <c r="I47" s="8">
        <f t="shared" si="11"/>
        <v>369061.89641536732</v>
      </c>
      <c r="J47" s="12">
        <f t="shared" si="9"/>
        <v>582.27805818813738</v>
      </c>
      <c r="K47" s="1">
        <f t="shared" si="10"/>
        <v>-42912626.545738868</v>
      </c>
      <c r="L47" s="1">
        <f t="shared" si="12"/>
        <v>369061.89641536732</v>
      </c>
      <c r="M47" s="14">
        <f t="shared" si="13"/>
        <v>3819.7456165236849</v>
      </c>
      <c r="N47" s="14">
        <f t="shared" si="14"/>
        <v>369.0618964153673</v>
      </c>
      <c r="O47" s="14">
        <f t="shared" si="15"/>
        <v>842.65762320903639</v>
      </c>
      <c r="P47" s="14">
        <f t="shared" si="16"/>
        <v>369.0618964153673</v>
      </c>
      <c r="Q47" s="14">
        <f t="shared" si="17"/>
        <v>3837.5334862822519</v>
      </c>
      <c r="R47" s="7">
        <f t="shared" si="18"/>
        <v>0.99536476494025339</v>
      </c>
    </row>
    <row r="48" spans="1:18" ht="16.5" thickTop="1" thickBot="1">
      <c r="F48" s="16"/>
      <c r="H48" s="33">
        <f>'V_1,1pu_DIG'!H48</f>
        <v>3764386.9844001532</v>
      </c>
      <c r="I48" s="8">
        <f t="shared" si="11"/>
        <v>369061.89641536732</v>
      </c>
      <c r="J48" s="12">
        <f t="shared" si="9"/>
        <v>581.98749462563262</v>
      </c>
      <c r="K48" s="1">
        <f t="shared" si="10"/>
        <v>-42921701.580321617</v>
      </c>
      <c r="L48" s="1">
        <f t="shared" si="12"/>
        <v>369061.89641536732</v>
      </c>
      <c r="M48" s="14">
        <f t="shared" si="13"/>
        <v>3764.3869844001533</v>
      </c>
      <c r="N48" s="14">
        <f t="shared" si="14"/>
        <v>369.0618964153673</v>
      </c>
      <c r="O48" s="14">
        <f t="shared" si="15"/>
        <v>842.24211731465459</v>
      </c>
      <c r="P48" s="14">
        <f t="shared" si="16"/>
        <v>369.0618964153673</v>
      </c>
      <c r="Q48" s="14">
        <f t="shared" si="17"/>
        <v>3782.4352012568556</v>
      </c>
      <c r="R48" s="7">
        <f t="shared" si="18"/>
        <v>0.99522841347005619</v>
      </c>
    </row>
    <row r="49" spans="6:18" ht="16.5" thickTop="1" thickBot="1">
      <c r="F49" s="16"/>
      <c r="H49" s="33">
        <f>'V_1,1pu_DIG'!H49</f>
        <v>3709028.3522766214</v>
      </c>
      <c r="I49" s="8">
        <f t="shared" si="11"/>
        <v>369061.89641536732</v>
      </c>
      <c r="J49" s="12">
        <f t="shared" si="9"/>
        <v>581.7010308912794</v>
      </c>
      <c r="K49" s="1">
        <f t="shared" si="10"/>
        <v>-42930640.651983216</v>
      </c>
      <c r="L49" s="1">
        <f t="shared" si="12"/>
        <v>369061.89641536732</v>
      </c>
      <c r="M49" s="14">
        <f t="shared" si="13"/>
        <v>3709.0283522766213</v>
      </c>
      <c r="N49" s="14">
        <f t="shared" si="14"/>
        <v>369.0618964153673</v>
      </c>
      <c r="O49" s="14">
        <f t="shared" si="15"/>
        <v>841.83247417452947</v>
      </c>
      <c r="P49" s="14">
        <f t="shared" si="16"/>
        <v>369.0618964153673</v>
      </c>
      <c r="Q49" s="14">
        <f t="shared" si="17"/>
        <v>3727.3446314202738</v>
      </c>
      <c r="R49" s="7">
        <f t="shared" si="18"/>
        <v>0.99508597112559638</v>
      </c>
    </row>
    <row r="50" spans="6:18" ht="16.5" thickTop="1" thickBot="1">
      <c r="F50" s="16"/>
      <c r="H50" s="33">
        <f>'V_1,1pu_DIG'!H50</f>
        <v>3653669.7201530896</v>
      </c>
      <c r="I50" s="8">
        <f t="shared" si="11"/>
        <v>-168672.46308296424</v>
      </c>
      <c r="J50" s="12">
        <f t="shared" si="9"/>
        <v>566.40600713696676</v>
      </c>
      <c r="K50" s="1">
        <f t="shared" si="10"/>
        <v>-42939443.918195568</v>
      </c>
      <c r="L50" s="1">
        <f t="shared" si="12"/>
        <v>-168672.46308296424</v>
      </c>
      <c r="M50" s="14">
        <f t="shared" si="13"/>
        <v>3653.6697201530897</v>
      </c>
      <c r="N50" s="14">
        <f t="shared" si="14"/>
        <v>-168.67246308296424</v>
      </c>
      <c r="O50" s="14">
        <f t="shared" si="15"/>
        <v>819.96059020586245</v>
      </c>
      <c r="P50" s="14">
        <f t="shared" si="16"/>
        <v>-168.67246308296424</v>
      </c>
      <c r="Q50" s="14">
        <f t="shared" si="17"/>
        <v>3657.5610485357629</v>
      </c>
      <c r="R50" s="7">
        <f t="shared" si="18"/>
        <v>0.99893608655302391</v>
      </c>
    </row>
    <row r="51" spans="6:18" ht="16.5" thickTop="1" thickBot="1">
      <c r="F51" s="16"/>
      <c r="H51" s="33">
        <f>'V_1,1pu_DIG'!H51</f>
        <v>3598311.0880295578</v>
      </c>
      <c r="I51" s="8">
        <f t="shared" si="11"/>
        <v>-461972.38633846398</v>
      </c>
      <c r="J51" s="12">
        <f t="shared" si="9"/>
        <v>557.93348397892703</v>
      </c>
      <c r="K51" s="1">
        <f t="shared" si="10"/>
        <v>-42948111.533800647</v>
      </c>
      <c r="L51" s="1">
        <f t="shared" si="12"/>
        <v>-461972.38633846398</v>
      </c>
      <c r="M51" s="14">
        <f t="shared" si="13"/>
        <v>3598.3110880295581</v>
      </c>
      <c r="N51" s="14">
        <f t="shared" si="14"/>
        <v>-461.97238633846399</v>
      </c>
      <c r="O51" s="14">
        <f t="shared" si="15"/>
        <v>807.84488208986556</v>
      </c>
      <c r="P51" s="14">
        <f t="shared" si="16"/>
        <v>-461.97238633846399</v>
      </c>
      <c r="Q51" s="14">
        <f t="shared" si="17"/>
        <v>3627.8452519334005</v>
      </c>
      <c r="R51" s="7">
        <f t="shared" si="18"/>
        <v>0.99185903426059785</v>
      </c>
    </row>
    <row r="52" spans="6:18" ht="16.5" thickTop="1" thickBot="1">
      <c r="F52" s="16"/>
      <c r="H52" s="33">
        <f>'V_1,1pu_DIG'!H52</f>
        <v>3542952.4559060261</v>
      </c>
      <c r="I52" s="8">
        <f t="shared" si="11"/>
        <v>-673026.66054037074</v>
      </c>
      <c r="J52" s="12">
        <f t="shared" si="9"/>
        <v>551.75629559792105</v>
      </c>
      <c r="K52" s="1">
        <f t="shared" si="10"/>
        <v>-42956643.651024535</v>
      </c>
      <c r="L52" s="1">
        <f t="shared" si="12"/>
        <v>-673026.66054037074</v>
      </c>
      <c r="M52" s="14">
        <f t="shared" si="13"/>
        <v>3542.952455906026</v>
      </c>
      <c r="N52" s="14">
        <f t="shared" si="14"/>
        <v>-673.0266605403707</v>
      </c>
      <c r="O52" s="14">
        <f t="shared" si="15"/>
        <v>799.01150270502706</v>
      </c>
      <c r="P52" s="14">
        <f t="shared" si="16"/>
        <v>-673.0266605403707</v>
      </c>
      <c r="Q52" s="14">
        <f t="shared" si="17"/>
        <v>3606.3107174242023</v>
      </c>
      <c r="R52" s="7">
        <f t="shared" si="18"/>
        <v>0.98243128047396044</v>
      </c>
    </row>
    <row r="53" spans="6:18" ht="16.5" thickTop="1" thickBot="1">
      <c r="F53" s="16"/>
      <c r="H53" s="33">
        <f>'V_1,1pu_DIG'!H53</f>
        <v>3321517.9274118994</v>
      </c>
      <c r="I53" s="8">
        <f t="shared" si="11"/>
        <v>-1245242.6979007097</v>
      </c>
      <c r="J53" s="12">
        <f t="shared" si="9"/>
        <v>534.64959741656048</v>
      </c>
      <c r="K53" s="1">
        <f t="shared" si="10"/>
        <v>-42989420.089839026</v>
      </c>
      <c r="L53" s="1">
        <f t="shared" si="12"/>
        <v>-1245242.6979007097</v>
      </c>
      <c r="M53" s="14">
        <f t="shared" si="13"/>
        <v>3321.5179274118996</v>
      </c>
      <c r="N53" s="14">
        <f t="shared" si="14"/>
        <v>-1245.2426979007098</v>
      </c>
      <c r="O53" s="14">
        <f t="shared" si="15"/>
        <v>774.54892430568145</v>
      </c>
      <c r="P53" s="14">
        <f t="shared" si="16"/>
        <v>-1245.2426979007098</v>
      </c>
      <c r="Q53" s="14">
        <f t="shared" si="17"/>
        <v>3547.2680641295888</v>
      </c>
      <c r="R53" s="7">
        <f t="shared" si="18"/>
        <v>0.93635943699871393</v>
      </c>
    </row>
    <row r="54" spans="6:18" ht="16.5" thickTop="1" thickBot="1">
      <c r="F54" s="16"/>
      <c r="H54" s="33">
        <f>'V_1,1pu_DIG'!H54</f>
        <v>3100083.3989177728</v>
      </c>
      <c r="I54" s="8">
        <f t="shared" si="11"/>
        <v>-1637911.8416049047</v>
      </c>
      <c r="J54" s="12">
        <f t="shared" si="9"/>
        <v>522.58666190230167</v>
      </c>
      <c r="K54" s="1">
        <f t="shared" si="10"/>
        <v>-43020040.061662018</v>
      </c>
      <c r="L54" s="1">
        <f t="shared" si="12"/>
        <v>-1637911.8416049047</v>
      </c>
      <c r="M54" s="14">
        <f t="shared" si="13"/>
        <v>3100.0833989177727</v>
      </c>
      <c r="N54" s="14">
        <f t="shared" si="14"/>
        <v>-1637.9118416049048</v>
      </c>
      <c r="O54" s="14">
        <f t="shared" si="15"/>
        <v>757.29892652029139</v>
      </c>
      <c r="P54" s="14">
        <f t="shared" si="16"/>
        <v>-1637.9118416049048</v>
      </c>
      <c r="Q54" s="14">
        <f t="shared" si="17"/>
        <v>3506.1763049103993</v>
      </c>
      <c r="R54" s="7">
        <f t="shared" si="18"/>
        <v>0.88417784199160387</v>
      </c>
    </row>
    <row r="55" spans="6:18" ht="16.5" thickTop="1" thickBot="1">
      <c r="F55" s="16"/>
      <c r="H55" s="33">
        <f>'V_1,1pu_DIG'!H55</f>
        <v>2878648.8704236462</v>
      </c>
      <c r="I55" s="8">
        <f t="shared" si="11"/>
        <v>-1944342.812267768</v>
      </c>
      <c r="J55" s="12">
        <f t="shared" si="9"/>
        <v>512.97597197514551</v>
      </c>
      <c r="K55" s="1">
        <f t="shared" si="10"/>
        <v>-43048512.081733949</v>
      </c>
      <c r="L55" s="1">
        <f t="shared" si="12"/>
        <v>-1944342.812267768</v>
      </c>
      <c r="M55" s="14">
        <f t="shared" si="13"/>
        <v>2878.6488704236463</v>
      </c>
      <c r="N55" s="14">
        <f t="shared" si="14"/>
        <v>-1944.3428122677681</v>
      </c>
      <c r="O55" s="14">
        <f t="shared" si="15"/>
        <v>743.55563992445809</v>
      </c>
      <c r="P55" s="14">
        <f t="shared" si="16"/>
        <v>-1944.3428122677681</v>
      </c>
      <c r="Q55" s="14">
        <f t="shared" si="17"/>
        <v>3473.771479359094</v>
      </c>
      <c r="R55" s="7">
        <f t="shared" si="18"/>
        <v>0.82868112871798727</v>
      </c>
    </row>
    <row r="56" spans="6:18" ht="16.5" thickTop="1" thickBot="1">
      <c r="F56" s="16"/>
      <c r="H56" s="33">
        <f>'V_1,1pu_DIG'!H56</f>
        <v>2657214.3419295195</v>
      </c>
      <c r="I56" s="8">
        <f t="shared" si="11"/>
        <v>-2195635.4748923481</v>
      </c>
      <c r="J56" s="12">
        <f t="shared" si="9"/>
        <v>504.95811265949965</v>
      </c>
      <c r="K56" s="1">
        <f t="shared" si="10"/>
        <v>-43074844.027779698</v>
      </c>
      <c r="L56" s="1">
        <f t="shared" si="12"/>
        <v>-2195635.4748923481</v>
      </c>
      <c r="M56" s="14">
        <f t="shared" si="13"/>
        <v>2657.2143419295194</v>
      </c>
      <c r="N56" s="14">
        <f t="shared" si="14"/>
        <v>-2195.6354748923482</v>
      </c>
      <c r="O56" s="14">
        <f t="shared" si="15"/>
        <v>732.09010110308452</v>
      </c>
      <c r="P56" s="14">
        <f t="shared" si="16"/>
        <v>-2195.6354748923482</v>
      </c>
      <c r="Q56" s="14">
        <f t="shared" si="17"/>
        <v>3446.9701474717872</v>
      </c>
      <c r="R56" s="7">
        <f t="shared" si="18"/>
        <v>0.77088405998481835</v>
      </c>
    </row>
    <row r="57" spans="6:18" ht="16.5" thickTop="1" thickBot="1">
      <c r="F57" s="16"/>
      <c r="H57" s="33">
        <f>'V_1,1pu_DIG'!H57</f>
        <v>2435779.8134353929</v>
      </c>
      <c r="I57" s="8">
        <f t="shared" si="11"/>
        <v>-2406805.0610970557</v>
      </c>
      <c r="J57" s="12">
        <f t="shared" si="9"/>
        <v>498.12065561152792</v>
      </c>
      <c r="K57" s="1">
        <f t="shared" si="10"/>
        <v>-43099043.151147038</v>
      </c>
      <c r="L57" s="1">
        <f t="shared" ref="L57:L68" si="19">IF(ABS(I57)&lt;ABS(K57),I57,K57)</f>
        <v>-2406805.0610970557</v>
      </c>
      <c r="M57" s="14">
        <f t="shared" ref="M57:M68" si="20">H57/1000</f>
        <v>2435.779813435393</v>
      </c>
      <c r="N57" s="14">
        <f t="shared" ref="N57:N68" si="21">I57/1000</f>
        <v>-2406.8050610970558</v>
      </c>
      <c r="O57" s="14">
        <f t="shared" ref="O57:O68" si="22">J57*1.43+10</f>
        <v>722.31253752448492</v>
      </c>
      <c r="P57" s="14">
        <f t="shared" ref="P57:P68" si="23">L57/1000</f>
        <v>-2406.8050610970558</v>
      </c>
      <c r="Q57" s="14">
        <f t="shared" ref="Q57:Q68" si="24">SQRT(M57^2+P57^2)</f>
        <v>3424.2858966011822</v>
      </c>
      <c r="R57" s="7">
        <f t="shared" ref="R57:R68" si="25">M57/SQRT(M57^2+P57^2)</f>
        <v>0.71132489721522862</v>
      </c>
    </row>
    <row r="58" spans="6:18" ht="16.5" thickTop="1" thickBot="1">
      <c r="F58" s="16"/>
      <c r="H58" s="33">
        <f>'V_1,1pu_DIG'!H58</f>
        <v>2214345.2849412663</v>
      </c>
      <c r="I58" s="8">
        <f t="shared" si="11"/>
        <v>-2586464.3891058792</v>
      </c>
      <c r="J58" s="12">
        <f t="shared" si="9"/>
        <v>492.22869779555066</v>
      </c>
      <c r="K58" s="1">
        <f t="shared" si="10"/>
        <v>-43121116.086980291</v>
      </c>
      <c r="L58" s="1">
        <f t="shared" si="19"/>
        <v>-2586464.3891058792</v>
      </c>
      <c r="M58" s="14">
        <f t="shared" si="20"/>
        <v>2214.3452849412661</v>
      </c>
      <c r="N58" s="14">
        <f t="shared" si="21"/>
        <v>-2586.464389105879</v>
      </c>
      <c r="O58" s="14">
        <f t="shared" si="22"/>
        <v>713.88703784763743</v>
      </c>
      <c r="P58" s="14">
        <f t="shared" si="23"/>
        <v>-2586.464389105879</v>
      </c>
      <c r="Q58" s="14">
        <f t="shared" si="24"/>
        <v>3404.8675564630212</v>
      </c>
      <c r="R58" s="7">
        <f t="shared" si="25"/>
        <v>0.65034696598934072</v>
      </c>
    </row>
    <row r="59" spans="6:18" ht="16.5" thickTop="1" thickBot="1">
      <c r="F59" s="16"/>
      <c r="H59" s="33">
        <f>'V_1,1pu_DIG'!H59</f>
        <v>1992910.7564471397</v>
      </c>
      <c r="I59" s="8">
        <f t="shared" si="11"/>
        <v>-2740080.6513276473</v>
      </c>
      <c r="J59" s="12">
        <f t="shared" si="9"/>
        <v>487.13431263323844</v>
      </c>
      <c r="K59" s="1">
        <f t="shared" si="10"/>
        <v>-43141068.863463201</v>
      </c>
      <c r="L59" s="1">
        <f t="shared" si="19"/>
        <v>-2740080.6513276473</v>
      </c>
      <c r="M59" s="14">
        <f t="shared" si="20"/>
        <v>1992.9107564471396</v>
      </c>
      <c r="N59" s="14">
        <f t="shared" si="21"/>
        <v>-2740.080651327647</v>
      </c>
      <c r="O59" s="14">
        <f t="shared" si="22"/>
        <v>706.60206706553095</v>
      </c>
      <c r="P59" s="14">
        <f t="shared" si="23"/>
        <v>-2740.080651327647</v>
      </c>
      <c r="Q59" s="14">
        <f t="shared" si="24"/>
        <v>3388.1758010680105</v>
      </c>
      <c r="R59" s="7">
        <f t="shared" si="25"/>
        <v>0.58819579427340818</v>
      </c>
    </row>
    <row r="60" spans="6:18" ht="16.5" thickTop="1" thickBot="1">
      <c r="F60" s="16"/>
      <c r="H60" s="33">
        <f>'V_1,1pu_DIG'!H60</f>
        <v>1771476.227953013</v>
      </c>
      <c r="I60" s="8">
        <f t="shared" si="11"/>
        <v>-2871359.7797166146</v>
      </c>
      <c r="J60" s="12">
        <f t="shared" si="9"/>
        <v>482.73809320089629</v>
      </c>
      <c r="K60" s="1">
        <f t="shared" si="10"/>
        <v>-43158906.910161339</v>
      </c>
      <c r="L60" s="1">
        <f t="shared" si="19"/>
        <v>-2871359.7797166146</v>
      </c>
      <c r="M60" s="14">
        <f t="shared" si="20"/>
        <v>1771.476227953013</v>
      </c>
      <c r="N60" s="14">
        <f t="shared" si="21"/>
        <v>-2871.3597797166144</v>
      </c>
      <c r="O60" s="14">
        <f t="shared" si="22"/>
        <v>700.31547327728163</v>
      </c>
      <c r="P60" s="14">
        <f t="shared" si="23"/>
        <v>-2871.3597797166144</v>
      </c>
      <c r="Q60" s="14">
        <f t="shared" si="24"/>
        <v>3373.8457301389581</v>
      </c>
      <c r="R60" s="7">
        <f t="shared" si="25"/>
        <v>0.52506141941470796</v>
      </c>
    </row>
    <row r="61" spans="6:18" ht="16.5" thickTop="1" thickBot="1">
      <c r="F61" s="16"/>
      <c r="H61" s="33">
        <f>'V_1,1pu_DIG'!H61</f>
        <v>1550041.6994588864</v>
      </c>
      <c r="I61" s="8">
        <f t="shared" si="11"/>
        <v>-2982927.2735085515</v>
      </c>
      <c r="J61" s="12">
        <f t="shared" si="9"/>
        <v>478.97025215498201</v>
      </c>
      <c r="K61" s="1">
        <f t="shared" si="10"/>
        <v>-43174635.065491483</v>
      </c>
      <c r="L61" s="1">
        <f t="shared" si="19"/>
        <v>-2982927.2735085515</v>
      </c>
      <c r="M61" s="14">
        <f t="shared" si="20"/>
        <v>1550.0416994588863</v>
      </c>
      <c r="N61" s="14">
        <f t="shared" si="21"/>
        <v>-2982.9272735085515</v>
      </c>
      <c r="O61" s="14">
        <f t="shared" si="22"/>
        <v>694.92746058162425</v>
      </c>
      <c r="P61" s="14">
        <f t="shared" si="23"/>
        <v>-2982.9272735085515</v>
      </c>
      <c r="Q61" s="14">
        <f t="shared" si="24"/>
        <v>3361.6193105559341</v>
      </c>
      <c r="R61" s="7">
        <f t="shared" si="25"/>
        <v>0.46109971304351688</v>
      </c>
    </row>
    <row r="62" spans="6:18" ht="16.5" thickTop="1" thickBot="1">
      <c r="F62" s="16"/>
      <c r="H62" s="33">
        <f>'V_1,1pu_DIG'!H62</f>
        <v>1328607.1709647598</v>
      </c>
      <c r="I62" s="8">
        <f t="shared" si="11"/>
        <v>-3076698.3463481441</v>
      </c>
      <c r="J62" s="12">
        <f t="shared" si="9"/>
        <v>475.78035101606406</v>
      </c>
      <c r="K62" s="1">
        <f t="shared" si="10"/>
        <v>-43188257.583342224</v>
      </c>
      <c r="L62" s="1">
        <f t="shared" si="19"/>
        <v>-3076698.3463481441</v>
      </c>
      <c r="M62" s="14">
        <f t="shared" si="20"/>
        <v>1328.6071709647597</v>
      </c>
      <c r="N62" s="14">
        <f t="shared" si="21"/>
        <v>-3076.6983463481442</v>
      </c>
      <c r="O62" s="14">
        <f t="shared" si="22"/>
        <v>690.36590195297163</v>
      </c>
      <c r="P62" s="14">
        <f t="shared" si="23"/>
        <v>-3076.6983463481442</v>
      </c>
      <c r="Q62" s="14">
        <f t="shared" si="24"/>
        <v>3351.3086591897777</v>
      </c>
      <c r="R62" s="7">
        <f t="shared" si="25"/>
        <v>0.39644428671812271</v>
      </c>
    </row>
    <row r="63" spans="6:18" ht="16.5" thickTop="1" thickBot="1">
      <c r="F63" s="16"/>
      <c r="H63" s="33">
        <f>'V_1,1pu_DIG'!H63</f>
        <v>1107172.6424706331</v>
      </c>
      <c r="I63" s="8">
        <f t="shared" si="11"/>
        <v>-3154094.2745644595</v>
      </c>
      <c r="J63" s="12">
        <f t="shared" si="9"/>
        <v>473.13129821267665</v>
      </c>
      <c r="K63" s="1">
        <f t="shared" si="10"/>
        <v>-43199778.138866916</v>
      </c>
      <c r="L63" s="1">
        <f t="shared" si="19"/>
        <v>-3154094.2745644595</v>
      </c>
      <c r="M63" s="14">
        <f t="shared" si="20"/>
        <v>1107.172642470633</v>
      </c>
      <c r="N63" s="14">
        <f t="shared" si="21"/>
        <v>-3154.0942745644593</v>
      </c>
      <c r="O63" s="14">
        <f t="shared" si="22"/>
        <v>686.57775644412754</v>
      </c>
      <c r="P63" s="14">
        <f t="shared" si="23"/>
        <v>-3154.0942745644593</v>
      </c>
      <c r="Q63" s="14">
        <f t="shared" si="24"/>
        <v>3342.7745890316487</v>
      </c>
      <c r="R63" s="7">
        <f t="shared" si="25"/>
        <v>0.33121367085399683</v>
      </c>
    </row>
    <row r="64" spans="6:18" ht="16.5" thickTop="1" thickBot="1">
      <c r="F64" s="16"/>
      <c r="H64" s="33">
        <f>'V_1,1pu_DIG'!H64</f>
        <v>885738.1139765064</v>
      </c>
      <c r="I64" s="8">
        <f t="shared" si="11"/>
        <v>-3216175.705027245</v>
      </c>
      <c r="J64" s="12">
        <f t="shared" si="9"/>
        <v>470.99565056654887</v>
      </c>
      <c r="K64" s="1">
        <f t="shared" si="10"/>
        <v>-43209199.833467908</v>
      </c>
      <c r="L64" s="1">
        <f t="shared" si="19"/>
        <v>-3216175.705027245</v>
      </c>
      <c r="M64" s="14">
        <f t="shared" si="20"/>
        <v>885.73811397650638</v>
      </c>
      <c r="N64" s="14">
        <f t="shared" si="21"/>
        <v>-3216.1757050272449</v>
      </c>
      <c r="O64" s="14">
        <f t="shared" si="22"/>
        <v>683.52378031016485</v>
      </c>
      <c r="P64" s="14">
        <f t="shared" si="23"/>
        <v>-3216.1757050272449</v>
      </c>
      <c r="Q64" s="14">
        <f t="shared" si="24"/>
        <v>3335.913393983446</v>
      </c>
      <c r="R64" s="7">
        <f t="shared" si="25"/>
        <v>0.26551592003976998</v>
      </c>
    </row>
    <row r="65" spans="6:18" ht="16.5" thickTop="1" thickBot="1">
      <c r="F65" s="16"/>
      <c r="H65" s="33">
        <f>'V_1,1pu_DIG'!H65</f>
        <v>664303.58548237965</v>
      </c>
      <c r="I65" s="8">
        <f t="shared" si="11"/>
        <v>-3263727.8596349177</v>
      </c>
      <c r="J65" s="12">
        <f t="shared" si="9"/>
        <v>469.35324858795991</v>
      </c>
      <c r="K65" s="1">
        <f t="shared" si="10"/>
        <v>-43216525.198987439</v>
      </c>
      <c r="L65" s="1">
        <f t="shared" si="19"/>
        <v>-3263727.8596349177</v>
      </c>
      <c r="M65" s="14">
        <f t="shared" si="20"/>
        <v>664.30358548237962</v>
      </c>
      <c r="N65" s="14">
        <f t="shared" si="21"/>
        <v>-3263.7278596349179</v>
      </c>
      <c r="O65" s="14">
        <f t="shared" si="22"/>
        <v>681.17514548078259</v>
      </c>
      <c r="P65" s="14">
        <f t="shared" si="23"/>
        <v>-3263.7278596349179</v>
      </c>
      <c r="Q65" s="14">
        <f t="shared" si="24"/>
        <v>3330.648404656647</v>
      </c>
      <c r="R65" s="7">
        <f t="shared" si="25"/>
        <v>0.19945172974535627</v>
      </c>
    </row>
    <row r="66" spans="6:18" ht="16.5" thickTop="1" thickBot="1">
      <c r="F66" s="16"/>
      <c r="H66" s="33">
        <f>'V_1,1pu_DIG'!H66</f>
        <v>442869.05698825291</v>
      </c>
      <c r="I66" s="8">
        <f t="shared" si="11"/>
        <v>-3297316.106970395</v>
      </c>
      <c r="J66" s="12">
        <f t="shared" si="9"/>
        <v>468.1896733689544</v>
      </c>
      <c r="K66" s="1">
        <f t="shared" si="10"/>
        <v>-43221756.201118857</v>
      </c>
      <c r="L66" s="1">
        <f t="shared" si="19"/>
        <v>-3297316.106970395</v>
      </c>
      <c r="M66" s="14">
        <f t="shared" si="20"/>
        <v>442.86905698825291</v>
      </c>
      <c r="N66" s="14">
        <f t="shared" si="21"/>
        <v>-3297.3161069703951</v>
      </c>
      <c r="O66" s="14">
        <f t="shared" si="22"/>
        <v>679.51123291760473</v>
      </c>
      <c r="P66" s="14">
        <f t="shared" si="23"/>
        <v>-3297.3161069703951</v>
      </c>
      <c r="Q66" s="14">
        <f t="shared" si="24"/>
        <v>3326.9244822995406</v>
      </c>
      <c r="R66" s="7">
        <f t="shared" si="25"/>
        <v>0.13311665453919344</v>
      </c>
    </row>
    <row r="67" spans="6:18" ht="16.5" thickTop="1" thickBot="1">
      <c r="F67" s="16"/>
      <c r="H67" s="33">
        <f>'V_1,1pu_DIG'!H67</f>
        <v>221434.52849412619</v>
      </c>
      <c r="I67" s="8">
        <f t="shared" si="11"/>
        <v>-3317322.1604809323</v>
      </c>
      <c r="J67" s="12">
        <f t="shared" si="9"/>
        <v>467.49524080362931</v>
      </c>
      <c r="K67" s="1">
        <f t="shared" si="10"/>
        <v>-43224894.242048681</v>
      </c>
      <c r="L67" s="1">
        <f t="shared" si="19"/>
        <v>-3317322.1604809323</v>
      </c>
      <c r="M67" s="14">
        <f t="shared" si="20"/>
        <v>221.4345284941262</v>
      </c>
      <c r="N67" s="14">
        <f t="shared" si="21"/>
        <v>-3317.3221604809323</v>
      </c>
      <c r="O67" s="14">
        <f t="shared" si="22"/>
        <v>678.51819434918991</v>
      </c>
      <c r="P67" s="14">
        <f t="shared" si="23"/>
        <v>-3317.3221604809323</v>
      </c>
      <c r="Q67" s="14">
        <f t="shared" si="24"/>
        <v>3324.7044330026238</v>
      </c>
      <c r="R67" s="7">
        <f t="shared" si="25"/>
        <v>6.6602771150439721E-2</v>
      </c>
    </row>
    <row r="68" spans="6:18" ht="16.5" thickTop="1" thickBot="1">
      <c r="F68" s="16"/>
      <c r="H68" s="33">
        <f>'V_1,1pu_DIG'!H68</f>
        <v>-5.2386894822120667E-10</v>
      </c>
      <c r="I68" s="8">
        <f t="shared" si="11"/>
        <v>-3323966.7611160949</v>
      </c>
      <c r="J68" s="12">
        <f>SQRT(3)*SQRT(($B$3/SQRT(3)*K_1+SQRT(H68^2+I68^2)/SQRT(3)/$B$3/Nm*I68/SQRT(H68^2+I68^2)*K_2)^2+(SQRT(H68^2+I68^2)/SQRT(3)/$B$3/Nm*H68/SQRT(H68^2+I68^2)*K_2)^2)</f>
        <v>467.26437095186213</v>
      </c>
      <c r="K68" s="1">
        <f t="shared" si="10"/>
        <v>-43225940.162337966</v>
      </c>
      <c r="L68" s="1">
        <f t="shared" si="19"/>
        <v>-3323966.7611160949</v>
      </c>
      <c r="M68" s="14">
        <f t="shared" si="20"/>
        <v>-5.2386894822120663E-13</v>
      </c>
      <c r="N68" s="14">
        <f t="shared" si="21"/>
        <v>-3323.9667611160949</v>
      </c>
      <c r="O68" s="14">
        <f t="shared" si="22"/>
        <v>678.18805046116279</v>
      </c>
      <c r="P68" s="14">
        <f t="shared" si="23"/>
        <v>-3323.9667611160949</v>
      </c>
      <c r="Q68" s="14">
        <f t="shared" si="24"/>
        <v>3323.9667611160949</v>
      </c>
      <c r="R68" s="7">
        <f t="shared" si="25"/>
        <v>-1.5760354596485379E-16</v>
      </c>
    </row>
    <row r="69" spans="6:18" ht="15.75" thickTop="1"/>
  </sheetData>
  <hyperlinks>
    <hyperlink ref="A13" r:id="rId1" display="Vdc@Tmin" xr:uid="{00000000-0004-0000-0500-000000000000}"/>
    <hyperlink ref="A22" r:id="rId2" display="P@PF=1 (W) (kW)" xr:uid="{00000000-0004-0000-0500-000001000000}"/>
    <hyperlink ref="C22" r:id="rId3" display="P@PF=1 (kW)" xr:uid="{00000000-0004-0000-0500-000002000000}"/>
    <hyperlink ref="C23" r:id="rId4" display="P@PF=1 (kW)" xr:uid="{00000000-0004-0000-0500-000003000000}"/>
  </hyperlinks>
  <pageMargins left="0.7" right="0.7" top="0.75" bottom="0.75" header="0.3" footer="0.3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9"/>
  <sheetViews>
    <sheetView workbookViewId="0">
      <selection activeCell="D8" sqref="D8"/>
    </sheetView>
  </sheetViews>
  <sheetFormatPr baseColWidth="10" defaultRowHeight="15"/>
  <cols>
    <col min="1" max="1" width="28.140625" customWidth="1"/>
    <col min="2" max="2" width="14.5703125" bestFit="1" customWidth="1"/>
    <col min="3" max="3" width="17.42578125" bestFit="1" customWidth="1"/>
    <col min="4" max="4" width="10.5703125" bestFit="1" customWidth="1"/>
    <col min="6" max="6" width="21.140625" bestFit="1" customWidth="1"/>
    <col min="8" max="8" width="9.140625" hidden="1" customWidth="1"/>
    <col min="9" max="12" width="11.85546875" hidden="1" customWidth="1"/>
    <col min="13" max="13" width="10.5703125" bestFit="1" customWidth="1"/>
    <col min="14" max="15" width="10.5703125" customWidth="1"/>
    <col min="16" max="16" width="10.7109375" bestFit="1" customWidth="1"/>
    <col min="19" max="19" width="10.85546875" bestFit="1" customWidth="1"/>
  </cols>
  <sheetData>
    <row r="1" spans="1:19" ht="15.75" thickBot="1">
      <c r="A1" s="3" t="s">
        <v>70</v>
      </c>
      <c r="B1">
        <f>Capability!B1</f>
        <v>620</v>
      </c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18</v>
      </c>
      <c r="O1" s="2" t="s">
        <v>19</v>
      </c>
      <c r="P1" s="2" t="s">
        <v>14</v>
      </c>
      <c r="Q1" s="2" t="s">
        <v>13</v>
      </c>
      <c r="R1" s="2" t="s">
        <v>12</v>
      </c>
    </row>
    <row r="2" spans="1:19" ht="16.5" thickTop="1" thickBot="1">
      <c r="A2" s="3" t="s">
        <v>71</v>
      </c>
      <c r="B2" s="28">
        <v>0.94</v>
      </c>
      <c r="F2" t="s">
        <v>20</v>
      </c>
      <c r="G2" s="15">
        <f>Capability!G2</f>
        <v>3750</v>
      </c>
      <c r="H2" s="1">
        <f>G2*1000</f>
        <v>3750000</v>
      </c>
      <c r="I2" s="8">
        <f>Nm*(SQRT(IF(3/K_3^2*Ii^2*B3^2-(H2/Nm)^2&lt;0.0000000001,0,3/K_3^2*Ii^2*B3^2-(H2/Nm)^2))+B3^2/K_3*K_4)</f>
        <v>804069.55465749721</v>
      </c>
      <c r="J2" s="11">
        <f>SQRT(3)*SQRT((B3/SQRT(3)*K_1+SQRT(H2^2+I2^2)/SQRT(3)/B3/Nm*I2/SQRT(H2^2+I2^2)*K_2)^2+(SQRT(H2^2+I2^2)/SQRT(3)/B3/Nm*H2/SQRT(H2^2+I2^2)*K_2)^2)</f>
        <v>605.20000736744896</v>
      </c>
      <c r="K2" s="1">
        <f>Nm*(SQRT(Vi^2*B3^2/K_2^2-(H2/Nm)^2)-B3^2*K_1/K_2)</f>
        <v>3000199.5328009324</v>
      </c>
      <c r="L2" s="1">
        <f>IF(ABS(I2)&lt;ABS(K2),I2,K2)</f>
        <v>804069.55465749721</v>
      </c>
      <c r="M2" s="13">
        <f t="shared" ref="M2:N44" si="0">H2/1000</f>
        <v>3750</v>
      </c>
      <c r="N2" s="13">
        <f>I2/1000</f>
        <v>804.06955465749718</v>
      </c>
      <c r="O2" s="13">
        <f>J2*1.43+10</f>
        <v>875.43601053545194</v>
      </c>
      <c r="P2" s="13">
        <f t="shared" ref="P2:P44" si="1">L2/1000</f>
        <v>804.06955465749718</v>
      </c>
      <c r="Q2" s="13">
        <f>SQRT(M2^2+P2^2)</f>
        <v>3835.235044782406</v>
      </c>
      <c r="R2" s="9">
        <f>M2/SQRT(M2^2+P2^2)</f>
        <v>0.97777579632352318</v>
      </c>
      <c r="S2" s="10" t="s">
        <v>15</v>
      </c>
    </row>
    <row r="3" spans="1:19" ht="16.5" thickTop="1" thickBot="1">
      <c r="A3" s="21" t="s">
        <v>67</v>
      </c>
      <c r="B3" s="21">
        <f>$B$1*B2</f>
        <v>582.79999999999995</v>
      </c>
      <c r="F3" t="s">
        <v>21</v>
      </c>
      <c r="G3" s="15">
        <f>Capability!G3</f>
        <v>2846</v>
      </c>
      <c r="H3" s="1">
        <f>G3*1000</f>
        <v>2846000</v>
      </c>
      <c r="I3" s="8">
        <f>Nm*(-SQRT(IF(3/K_3^2*Ii^2*B3^2-(H3/Nm)^2&lt;0.0000000001,0,3/K_3^2*Ii^2*B3^2-(H3/Nm)^2))+B3^2/K_3*K_4)</f>
        <v>-2092249.8830155951</v>
      </c>
      <c r="J3" s="12">
        <f>SQRT(3)*SQRT((B3/SQRT(3)*K_1+SQRT(H3^2+I3^2)/SQRT(3)/B3/Nm*I3/SQRT(H3^2+I3^2)*K_2)^2+(SQRT(H3^2+I3^2)/SQRT(3)/B3/Nm*H3/SQRT(H3^2+I3^2)*K_2)^2)</f>
        <v>521.72639978360701</v>
      </c>
      <c r="K3" s="1">
        <f>Nm*(-SQRT(Vi^2*B3^2/K_2^2-(H3/Nm)^2)-B3^2*K_1/K_2)</f>
        <v>-44435402.194530353</v>
      </c>
      <c r="L3" s="1">
        <f>IF(ABS(I3)&lt;ABS(K3),I3,K3)</f>
        <v>-2092249.8830155951</v>
      </c>
      <c r="M3" s="13">
        <f t="shared" si="0"/>
        <v>2846</v>
      </c>
      <c r="N3" s="13">
        <f t="shared" si="0"/>
        <v>-2092.2498830155951</v>
      </c>
      <c r="O3" s="13">
        <f t="shared" ref="O3:O44" si="2">J3*1.43+10</f>
        <v>756.06875169055797</v>
      </c>
      <c r="P3" s="13">
        <f t="shared" si="1"/>
        <v>-2092.2498830155951</v>
      </c>
      <c r="Q3" s="13">
        <f>SQRT(M3^2+P3^2)</f>
        <v>3532.3116472048118</v>
      </c>
      <c r="R3" s="9">
        <f>M3/SQRT(M3^2+P3^2)</f>
        <v>0.80570467281733082</v>
      </c>
      <c r="S3" s="10" t="s">
        <v>16</v>
      </c>
    </row>
    <row r="4" spans="1:19" ht="16.5" thickTop="1" thickBot="1">
      <c r="A4" s="3" t="s">
        <v>11</v>
      </c>
      <c r="B4" s="6">
        <f>Nm</f>
        <v>3</v>
      </c>
      <c r="F4" s="16"/>
      <c r="H4" s="33">
        <f>'V_1,1pu_DIG'!H4</f>
        <v>0</v>
      </c>
      <c r="I4" s="8">
        <f t="shared" ref="I4:I36" si="3">Nm*(SQRT(IF(3/K_3^2*Ii^2*$B$3^2-(H4/Nm)^2&lt;0.0000000001,0,3/K_3^2*Ii^2*$B$3^2-(H4/Nm)^2))+$B$3^2/K_3*K_4)</f>
        <v>4158594.3699265444</v>
      </c>
      <c r="J4" s="12">
        <f t="shared" ref="J4:J35" si="4">SQRT(3)*SQRT(($B$3/SQRT(3)*K_1+SQRT(H4^2+I4^2)/SQRT(3)/$B$3/Nm*I4/SQRT(H4^2+I4^2)*K_2)^2+(SQRT(H4^2+I4^2)/SQRT(3)/$B$3/Nm*H4/SQRT(H4^2+I4^2)*K_2)^2)</f>
        <v>689.36025730457209</v>
      </c>
      <c r="K4" s="1">
        <f t="shared" ref="K4:K36" si="5">Nm*(SQRT(Vi^2*$B$3^2/K_2^2-(H4/Nm)^2)-$B$3^2*K_1/K_2)</f>
        <v>3295597.3339232281</v>
      </c>
      <c r="L4" s="1">
        <f>IF(ABS(I4)&lt;ABS(K4),I4,K4)</f>
        <v>3295597.3339232281</v>
      </c>
      <c r="M4" s="14">
        <f t="shared" si="0"/>
        <v>0</v>
      </c>
      <c r="N4" s="14">
        <f t="shared" si="0"/>
        <v>4158.5943699265445</v>
      </c>
      <c r="O4" s="14">
        <f t="shared" si="2"/>
        <v>995.78516794553809</v>
      </c>
      <c r="P4" s="14">
        <f t="shared" si="1"/>
        <v>3295.5973339232282</v>
      </c>
      <c r="Q4" s="14">
        <f t="shared" ref="Q4:Q44" si="6">SQRT(M4^2+P4^2)</f>
        <v>3295.5973339232282</v>
      </c>
      <c r="R4" s="7">
        <f>M4/SQRT(M4^2+P4^2)</f>
        <v>0</v>
      </c>
    </row>
    <row r="5" spans="1:19" ht="16.5" thickTop="1" thickBot="1">
      <c r="A5" s="3" t="s">
        <v>1</v>
      </c>
      <c r="B5" s="6">
        <f>Capability!B5</f>
        <v>50</v>
      </c>
      <c r="C5" s="1" t="s">
        <v>32</v>
      </c>
      <c r="D5" s="1">
        <f>2*PI()*B5</f>
        <v>314.15926535897933</v>
      </c>
      <c r="F5" s="16"/>
      <c r="H5" s="33">
        <f>'V_1,1pu_DIG'!H5</f>
        <v>221434.52849412672</v>
      </c>
      <c r="I5" s="8">
        <f t="shared" si="3"/>
        <v>4152091.3905026796</v>
      </c>
      <c r="J5" s="12">
        <f t="shared" si="4"/>
        <v>689.20704886635565</v>
      </c>
      <c r="K5" s="1">
        <f t="shared" si="5"/>
        <v>3294573.6682186481</v>
      </c>
      <c r="L5" s="1">
        <f t="shared" ref="L5:L44" si="7">IF(ABS(I5)&lt;ABS(K5),I5,K5)</f>
        <v>3294573.6682186481</v>
      </c>
      <c r="M5" s="14">
        <f t="shared" si="0"/>
        <v>221.43452849412671</v>
      </c>
      <c r="N5" s="14">
        <f t="shared" si="0"/>
        <v>4152.09139050268</v>
      </c>
      <c r="O5" s="14">
        <f t="shared" si="2"/>
        <v>995.56607987888856</v>
      </c>
      <c r="P5" s="14">
        <f t="shared" si="1"/>
        <v>3294.573668218648</v>
      </c>
      <c r="Q5" s="14">
        <f t="shared" si="6"/>
        <v>3302.006799770269</v>
      </c>
      <c r="R5" s="7">
        <f t="shared" ref="R5:R44" si="8">M5/SQRT(M5^2+P5^2)</f>
        <v>6.7060591307544437E-2</v>
      </c>
    </row>
    <row r="6" spans="1:19" ht="16.5" thickTop="1" thickBot="1">
      <c r="A6" s="3" t="s">
        <v>0</v>
      </c>
      <c r="B6" s="6">
        <f>Capability!B6</f>
        <v>2700</v>
      </c>
      <c r="F6" s="16"/>
      <c r="H6" s="33">
        <f>'V_1,1pu_DIG'!H6</f>
        <v>442869.05698825343</v>
      </c>
      <c r="I6" s="8">
        <f t="shared" si="3"/>
        <v>4132514.7408808693</v>
      </c>
      <c r="J6" s="12">
        <f t="shared" si="4"/>
        <v>688.74562256350259</v>
      </c>
      <c r="K6" s="1">
        <f t="shared" si="5"/>
        <v>3291502.4085440403</v>
      </c>
      <c r="L6" s="1">
        <f t="shared" si="7"/>
        <v>3291502.4085440403</v>
      </c>
      <c r="M6" s="14">
        <f t="shared" si="0"/>
        <v>442.86905698825342</v>
      </c>
      <c r="N6" s="14">
        <f t="shared" si="0"/>
        <v>4132.5147408808689</v>
      </c>
      <c r="O6" s="14">
        <f t="shared" si="2"/>
        <v>994.90624026580872</v>
      </c>
      <c r="P6" s="14">
        <f t="shared" si="1"/>
        <v>3291.5024085440405</v>
      </c>
      <c r="Q6" s="14">
        <f t="shared" si="6"/>
        <v>3321.1626137677877</v>
      </c>
      <c r="R6" s="7">
        <f t="shared" si="8"/>
        <v>0.13334759796233764</v>
      </c>
    </row>
    <row r="7" spans="1:19" ht="16.5" thickTop="1" thickBot="1">
      <c r="A7" s="3" t="s">
        <v>43</v>
      </c>
      <c r="B7" s="6">
        <f>Capability!B7</f>
        <v>33</v>
      </c>
      <c r="C7" s="1" t="s">
        <v>40</v>
      </c>
      <c r="D7" s="1">
        <f>B7+aux!C6</f>
        <v>44.25</v>
      </c>
      <c r="F7" s="16"/>
      <c r="H7" s="33">
        <f>'V_1,1pu_DIG'!H7</f>
        <v>664303.58548238012</v>
      </c>
      <c r="I7" s="8">
        <f t="shared" si="3"/>
        <v>4099657.712107365</v>
      </c>
      <c r="J7" s="12">
        <f t="shared" si="4"/>
        <v>687.97047894397554</v>
      </c>
      <c r="K7" s="1">
        <f t="shared" si="5"/>
        <v>3286382.7668799609</v>
      </c>
      <c r="L7" s="1">
        <f t="shared" si="7"/>
        <v>3286382.7668799609</v>
      </c>
      <c r="M7" s="14">
        <f t="shared" si="0"/>
        <v>664.30358548238007</v>
      </c>
      <c r="N7" s="14">
        <f t="shared" si="0"/>
        <v>4099.6577121073651</v>
      </c>
      <c r="O7" s="14">
        <f t="shared" si="2"/>
        <v>993.79778488988495</v>
      </c>
      <c r="P7" s="14">
        <f t="shared" si="1"/>
        <v>3286.3827668799609</v>
      </c>
      <c r="Q7" s="14">
        <f t="shared" si="6"/>
        <v>3352.851166414986</v>
      </c>
      <c r="R7" s="7">
        <f t="shared" si="8"/>
        <v>0.19813094960391048</v>
      </c>
    </row>
    <row r="8" spans="1:19" ht="16.5" thickTop="1" thickBot="1">
      <c r="A8" s="3" t="s">
        <v>41</v>
      </c>
      <c r="B8" s="6">
        <f>Capability!B8</f>
        <v>951.5</v>
      </c>
      <c r="C8" s="1" t="s">
        <v>33</v>
      </c>
      <c r="D8" s="1">
        <f>IF(B8&gt;1250,1250,IF(B8&lt;B3*1.43,B3*1.43,B8))</f>
        <v>951.5</v>
      </c>
      <c r="F8" s="16"/>
      <c r="H8" s="33">
        <f>'V_1,1pu_DIG'!H8</f>
        <v>885738.11397650687</v>
      </c>
      <c r="I8" s="8">
        <f t="shared" si="3"/>
        <v>4053163.4229915719</v>
      </c>
      <c r="J8" s="12">
        <f t="shared" si="4"/>
        <v>686.8721184278312</v>
      </c>
      <c r="K8" s="1">
        <f t="shared" si="5"/>
        <v>3279213.428736873</v>
      </c>
      <c r="L8" s="1">
        <f t="shared" si="7"/>
        <v>3279213.428736873</v>
      </c>
      <c r="M8" s="14">
        <f t="shared" si="0"/>
        <v>885.73811397650684</v>
      </c>
      <c r="N8" s="14">
        <f t="shared" si="0"/>
        <v>4053.1634229915721</v>
      </c>
      <c r="O8" s="14">
        <f t="shared" si="2"/>
        <v>992.22712935179857</v>
      </c>
      <c r="P8" s="14">
        <f t="shared" si="1"/>
        <v>3279.2134287368731</v>
      </c>
      <c r="Q8" s="14">
        <f t="shared" si="6"/>
        <v>3396.7297092584358</v>
      </c>
      <c r="R8" s="7">
        <f t="shared" si="8"/>
        <v>0.26076202400275134</v>
      </c>
    </row>
    <row r="9" spans="1:19" ht="16.5" thickTop="1" thickBot="1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H9" s="33">
        <f>'V_1,1pu_DIG'!H9</f>
        <v>1107172.6424706336</v>
      </c>
      <c r="I9" s="8">
        <f t="shared" si="3"/>
        <v>3992504.5910142227</v>
      </c>
      <c r="J9" s="12">
        <f t="shared" si="4"/>
        <v>685.43649500819959</v>
      </c>
      <c r="K9" s="1">
        <f t="shared" si="5"/>
        <v>3269992.5514659081</v>
      </c>
      <c r="L9" s="1">
        <f t="shared" si="7"/>
        <v>3269992.5514659081</v>
      </c>
      <c r="M9" s="14">
        <f t="shared" si="0"/>
        <v>1107.1726424706337</v>
      </c>
      <c r="N9" s="14">
        <f t="shared" si="0"/>
        <v>3992.5045910142226</v>
      </c>
      <c r="O9" s="14">
        <f t="shared" si="2"/>
        <v>990.17418786172539</v>
      </c>
      <c r="P9" s="14">
        <f t="shared" si="1"/>
        <v>3269.992551465908</v>
      </c>
      <c r="Q9" s="14">
        <f t="shared" si="6"/>
        <v>3452.3445000286292</v>
      </c>
      <c r="R9" s="7">
        <f t="shared" si="8"/>
        <v>0.32070166881128237</v>
      </c>
    </row>
    <row r="10" spans="1:19" ht="16.5" thickTop="1" thickBot="1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1.1492499999999999</v>
      </c>
      <c r="F10" s="16"/>
      <c r="H10" s="33">
        <f>'V_1,1pu_DIG'!H10</f>
        <v>1328607.1709647602</v>
      </c>
      <c r="I10" s="8">
        <f t="shared" si="3"/>
        <v>3916951.4344150512</v>
      </c>
      <c r="J10" s="12">
        <f t="shared" si="4"/>
        <v>683.64414895603716</v>
      </c>
      <c r="K10" s="1">
        <f t="shared" si="5"/>
        <v>3258717.7618868463</v>
      </c>
      <c r="L10" s="1">
        <f t="shared" si="7"/>
        <v>3258717.7618868463</v>
      </c>
      <c r="M10" s="14">
        <f t="shared" si="0"/>
        <v>1328.6071709647601</v>
      </c>
      <c r="N10" s="14">
        <f t="shared" si="0"/>
        <v>3916.9514344150512</v>
      </c>
      <c r="O10" s="14">
        <f t="shared" si="2"/>
        <v>987.61113300713305</v>
      </c>
      <c r="P10" s="14">
        <f t="shared" si="1"/>
        <v>3258.7177618868463</v>
      </c>
      <c r="Q10" s="14">
        <f t="shared" si="6"/>
        <v>3519.1530893633771</v>
      </c>
      <c r="R10" s="7">
        <f t="shared" si="8"/>
        <v>0.37753605405245622</v>
      </c>
    </row>
    <row r="11" spans="1:19" ht="16.5" thickTop="1" thickBot="1">
      <c r="A11" s="21" t="s">
        <v>49</v>
      </c>
      <c r="B11" s="20">
        <f>B9*B10</f>
        <v>1.2004372301587298</v>
      </c>
      <c r="F11" s="16"/>
      <c r="H11" s="33">
        <f>'V_1,1pu_DIG'!H11</f>
        <v>1550041.6994588869</v>
      </c>
      <c r="I11" s="8">
        <f t="shared" si="3"/>
        <v>3825522.7838344476</v>
      </c>
      <c r="J11" s="12">
        <f t="shared" si="4"/>
        <v>681.46888493355573</v>
      </c>
      <c r="K11" s="1">
        <f t="shared" si="5"/>
        <v>3245386.1532261511</v>
      </c>
      <c r="L11" s="1">
        <f t="shared" si="7"/>
        <v>3245386.1532261511</v>
      </c>
      <c r="M11" s="14">
        <f t="shared" si="0"/>
        <v>1550.0416994588868</v>
      </c>
      <c r="N11" s="14">
        <f t="shared" si="0"/>
        <v>3825.5227838344476</v>
      </c>
      <c r="O11" s="14">
        <f t="shared" si="2"/>
        <v>984.5005054549847</v>
      </c>
      <c r="P11" s="14">
        <f t="shared" si="1"/>
        <v>3245.3861532261512</v>
      </c>
      <c r="Q11" s="14">
        <f t="shared" si="6"/>
        <v>3596.5484222534014</v>
      </c>
      <c r="R11" s="7">
        <f t="shared" si="8"/>
        <v>0.43098035045715166</v>
      </c>
    </row>
    <row r="12" spans="1:19" ht="16.5" thickTop="1" thickBot="1">
      <c r="A12" s="3" t="s">
        <v>44</v>
      </c>
      <c r="B12" s="6">
        <f>Capability!B12</f>
        <v>-5</v>
      </c>
      <c r="C12" s="1" t="s">
        <v>39</v>
      </c>
      <c r="D12" s="1">
        <f>B12+aux!C6</f>
        <v>6.25</v>
      </c>
      <c r="F12" s="16"/>
      <c r="H12" s="33">
        <f>'V_1,1pu_DIG'!H12</f>
        <v>1771476.2279530135</v>
      </c>
      <c r="I12" s="8">
        <f t="shared" si="3"/>
        <v>3716911.8999432717</v>
      </c>
      <c r="J12" s="12">
        <f t="shared" si="4"/>
        <v>678.87576457087607</v>
      </c>
      <c r="K12" s="1">
        <f t="shared" si="5"/>
        <v>3229994.2813558728</v>
      </c>
      <c r="L12" s="1">
        <f t="shared" si="7"/>
        <v>3229994.2813558728</v>
      </c>
      <c r="M12" s="14">
        <f t="shared" si="0"/>
        <v>1771.4762279530134</v>
      </c>
      <c r="N12" s="14">
        <f t="shared" si="0"/>
        <v>3716.9118999432717</v>
      </c>
      <c r="O12" s="14">
        <f t="shared" si="2"/>
        <v>980.7923433363527</v>
      </c>
      <c r="P12" s="14">
        <f t="shared" si="1"/>
        <v>3229.9942813558728</v>
      </c>
      <c r="Q12" s="14">
        <f t="shared" si="6"/>
        <v>3683.8826099367334</v>
      </c>
      <c r="R12" s="7">
        <f t="shared" si="8"/>
        <v>0.48087206231130059</v>
      </c>
    </row>
    <row r="13" spans="1:19" ht="16.5" thickTop="1" thickBot="1">
      <c r="A13" s="3" t="s">
        <v>42</v>
      </c>
      <c r="B13" s="19">
        <f>Capability!B13</f>
        <v>1130</v>
      </c>
      <c r="C13" s="1" t="s">
        <v>48</v>
      </c>
      <c r="D13" s="1">
        <f>IF(B13&gt;1250,1250,IF(B13&lt;B3*1.43,B3*1.43,B13))</f>
        <v>1130</v>
      </c>
      <c r="F13" s="16"/>
      <c r="H13" s="33">
        <f>'V_1,1pu_DIG'!H13</f>
        <v>1992910.7564471401</v>
      </c>
      <c r="I13" s="8">
        <f t="shared" si="3"/>
        <v>3589371.9504565382</v>
      </c>
      <c r="J13" s="12">
        <f t="shared" si="4"/>
        <v>675.81800462411127</v>
      </c>
      <c r="K13" s="1">
        <f t="shared" si="5"/>
        <v>3212538.1603219528</v>
      </c>
      <c r="L13" s="1">
        <f t="shared" si="7"/>
        <v>3212538.1603219528</v>
      </c>
      <c r="M13" s="14">
        <f t="shared" si="0"/>
        <v>1992.9107564471401</v>
      </c>
      <c r="N13" s="14">
        <f t="shared" si="0"/>
        <v>3589.3719504565383</v>
      </c>
      <c r="O13" s="14">
        <f t="shared" si="2"/>
        <v>976.41974661247912</v>
      </c>
      <c r="P13" s="14">
        <f t="shared" si="1"/>
        <v>3212.538160321953</v>
      </c>
      <c r="Q13" s="14">
        <f t="shared" si="6"/>
        <v>3780.4886872846837</v>
      </c>
      <c r="R13" s="7">
        <f t="shared" si="8"/>
        <v>0.52715691575803603</v>
      </c>
    </row>
    <row r="14" spans="1:19" ht="16.5" thickTop="1" thickBot="1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H14" s="33">
        <f>'V_1,1pu_DIG'!H14</f>
        <v>2214345.2849412668</v>
      </c>
      <c r="I14" s="8">
        <f t="shared" si="3"/>
        <v>3440533.3005874548</v>
      </c>
      <c r="J14" s="12">
        <f t="shared" si="4"/>
        <v>672.23202355723697</v>
      </c>
      <c r="K14" s="1">
        <f t="shared" si="5"/>
        <v>3193013.2571483413</v>
      </c>
      <c r="L14" s="1">
        <f t="shared" si="7"/>
        <v>3193013.2571483413</v>
      </c>
      <c r="M14" s="14">
        <f t="shared" si="0"/>
        <v>2214.345284941267</v>
      </c>
      <c r="N14" s="14">
        <f t="shared" si="0"/>
        <v>3440.533300587455</v>
      </c>
      <c r="O14" s="14">
        <f t="shared" si="2"/>
        <v>971.29179368684879</v>
      </c>
      <c r="P14" s="14">
        <f t="shared" si="1"/>
        <v>3193.0132571483414</v>
      </c>
      <c r="Q14" s="14">
        <f t="shared" si="6"/>
        <v>3885.6992551234171</v>
      </c>
      <c r="R14" s="7">
        <f t="shared" si="8"/>
        <v>0.56987047621392284</v>
      </c>
    </row>
    <row r="15" spans="1:19" ht="16.5" thickTop="1" thickBot="1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H15" s="33">
        <f>'V_1,1pu_DIG'!H15</f>
        <v>2435779.8134353934</v>
      </c>
      <c r="I15" s="8">
        <f t="shared" si="3"/>
        <v>3267097.7617029115</v>
      </c>
      <c r="J15" s="12">
        <f t="shared" si="4"/>
        <v>668.02914404682872</v>
      </c>
      <c r="K15" s="1">
        <f t="shared" si="5"/>
        <v>3171414.4859010391</v>
      </c>
      <c r="L15" s="1">
        <f t="shared" si="7"/>
        <v>3171414.4859010391</v>
      </c>
      <c r="M15" s="14">
        <f t="shared" si="0"/>
        <v>2435.7798134353934</v>
      </c>
      <c r="N15" s="14">
        <f t="shared" si="0"/>
        <v>3267.0977617029116</v>
      </c>
      <c r="O15" s="14">
        <f t="shared" si="2"/>
        <v>965.28167598696507</v>
      </c>
      <c r="P15" s="14">
        <f t="shared" si="1"/>
        <v>3171.4144859010389</v>
      </c>
      <c r="Q15" s="14">
        <f t="shared" si="6"/>
        <v>3998.8614805869825</v>
      </c>
      <c r="R15" s="7">
        <f t="shared" si="8"/>
        <v>0.60911832661876841</v>
      </c>
    </row>
    <row r="16" spans="1:19" ht="16.5" thickTop="1" thickBot="1">
      <c r="A16" s="21" t="s">
        <v>50</v>
      </c>
      <c r="B16" s="20">
        <f>B14*B15</f>
        <v>1.1831619047619049</v>
      </c>
      <c r="F16" s="16"/>
      <c r="H16" s="33">
        <f>'V_1,1pu_DIG'!H16</f>
        <v>2657214.34192952</v>
      </c>
      <c r="I16" s="8">
        <f t="shared" si="3"/>
        <v>3064292.4759037164</v>
      </c>
      <c r="J16" s="12">
        <f t="shared" si="4"/>
        <v>663.08075728534868</v>
      </c>
      <c r="K16" s="1">
        <f t="shared" si="5"/>
        <v>3147736.2009937204</v>
      </c>
      <c r="L16" s="1">
        <f t="shared" si="7"/>
        <v>3064292.4759037164</v>
      </c>
      <c r="M16" s="14">
        <f t="shared" si="0"/>
        <v>2657.2143419295198</v>
      </c>
      <c r="N16" s="14">
        <f t="shared" si="0"/>
        <v>3064.2924759037164</v>
      </c>
      <c r="O16" s="14">
        <f t="shared" si="2"/>
        <v>958.20548291804857</v>
      </c>
      <c r="P16" s="14">
        <f t="shared" si="1"/>
        <v>3064.2924759037164</v>
      </c>
      <c r="Q16" s="14">
        <f t="shared" si="6"/>
        <v>4055.9433473405493</v>
      </c>
      <c r="R16" s="7">
        <f t="shared" si="8"/>
        <v>0.65514089186473345</v>
      </c>
    </row>
    <row r="17" spans="1:18" ht="16.5" thickTop="1" thickBot="1">
      <c r="A17" s="21"/>
      <c r="B17" s="20"/>
      <c r="F17" s="16"/>
      <c r="H17" s="33">
        <f>'V_1,1pu_DIG'!H17</f>
        <v>2878648.8704236466</v>
      </c>
      <c r="I17" s="8">
        <f t="shared" si="3"/>
        <v>2824803.6005432792</v>
      </c>
      <c r="J17" s="12">
        <f t="shared" si="4"/>
        <v>657.18932565033981</v>
      </c>
      <c r="K17" s="1">
        <f t="shared" si="5"/>
        <v>3121972.1897142017</v>
      </c>
      <c r="L17" s="1">
        <f t="shared" si="7"/>
        <v>2824803.6005432792</v>
      </c>
      <c r="M17" s="14">
        <f t="shared" si="0"/>
        <v>2878.6488704236467</v>
      </c>
      <c r="N17" s="14">
        <f t="shared" si="0"/>
        <v>2824.8036005432791</v>
      </c>
      <c r="O17" s="14">
        <f t="shared" si="2"/>
        <v>949.78073567998592</v>
      </c>
      <c r="P17" s="14">
        <f t="shared" si="1"/>
        <v>2824.8036005432791</v>
      </c>
      <c r="Q17" s="14">
        <f t="shared" si="6"/>
        <v>4033.1296409653896</v>
      </c>
      <c r="R17" s="7">
        <f t="shared" si="8"/>
        <v>0.71375064197901639</v>
      </c>
    </row>
    <row r="18" spans="1:18" ht="20.25" thickTop="1" thickBot="1">
      <c r="A18" s="23" t="s">
        <v>53</v>
      </c>
      <c r="B18" s="24">
        <f>MIN(B16,B11)</f>
        <v>1.1831619047619049</v>
      </c>
      <c r="F18" s="16"/>
      <c r="H18" s="33">
        <f>'V_1,1pu_DIG'!H18</f>
        <v>3100083.3989177733</v>
      </c>
      <c r="I18" s="8">
        <f t="shared" si="3"/>
        <v>2536413.7024300047</v>
      </c>
      <c r="J18" s="12">
        <f t="shared" si="4"/>
        <v>650.02406761218151</v>
      </c>
      <c r="K18" s="1">
        <f t="shared" si="5"/>
        <v>3094115.6639483599</v>
      </c>
      <c r="L18" s="1">
        <f t="shared" si="7"/>
        <v>2536413.7024300047</v>
      </c>
      <c r="M18" s="14">
        <f t="shared" si="0"/>
        <v>3100.0833989177731</v>
      </c>
      <c r="N18" s="14">
        <f t="shared" si="0"/>
        <v>2536.4137024300048</v>
      </c>
      <c r="O18" s="14">
        <f t="shared" si="2"/>
        <v>939.5344166854195</v>
      </c>
      <c r="P18" s="14">
        <f t="shared" si="1"/>
        <v>2536.4137024300048</v>
      </c>
      <c r="Q18" s="14">
        <f t="shared" si="6"/>
        <v>4005.4851828611545</v>
      </c>
      <c r="R18" s="7">
        <f t="shared" si="8"/>
        <v>0.77395952235263432</v>
      </c>
    </row>
    <row r="19" spans="1:18" ht="16.5" thickTop="1" thickBot="1">
      <c r="A19" s="21"/>
      <c r="B19" s="20"/>
      <c r="F19" s="16"/>
      <c r="H19" s="33">
        <f>'V_1,1pu_DIG'!H19</f>
        <v>3321517.9274118999</v>
      </c>
      <c r="I19" s="8">
        <f t="shared" si="3"/>
        <v>2175645.9273838326</v>
      </c>
      <c r="J19" s="12">
        <f t="shared" si="4"/>
        <v>640.94775901388959</v>
      </c>
      <c r="K19" s="1">
        <f t="shared" si="5"/>
        <v>3064159.2510753768</v>
      </c>
      <c r="L19" s="1">
        <f t="shared" si="7"/>
        <v>2175645.9273838326</v>
      </c>
      <c r="M19" s="14">
        <f t="shared" si="0"/>
        <v>3321.5179274119</v>
      </c>
      <c r="N19" s="14">
        <f t="shared" si="0"/>
        <v>2175.6459273838327</v>
      </c>
      <c r="O19" s="14">
        <f t="shared" si="2"/>
        <v>926.55529538986207</v>
      </c>
      <c r="P19" s="14">
        <f t="shared" si="1"/>
        <v>2175.6459273838327</v>
      </c>
      <c r="Q19" s="14">
        <f t="shared" si="6"/>
        <v>3970.6317562146833</v>
      </c>
      <c r="R19" s="7">
        <f t="shared" si="8"/>
        <v>0.83652127201501003</v>
      </c>
    </row>
    <row r="20" spans="1:18" ht="16.5" thickTop="1" thickBot="1">
      <c r="A20" s="21" t="s">
        <v>36</v>
      </c>
      <c r="B20" s="4">
        <f>(D8-10)/1.43</f>
        <v>658.39160839160843</v>
      </c>
      <c r="F20" s="16"/>
      <c r="H20" s="33">
        <f>'V_1,1pu_DIG'!H20</f>
        <v>3542952.4559060265</v>
      </c>
      <c r="I20" s="8">
        <f t="shared" si="3"/>
        <v>1683500.6859799339</v>
      </c>
      <c r="J20" s="12">
        <f t="shared" si="4"/>
        <v>628.35484026988365</v>
      </c>
      <c r="K20" s="1">
        <f t="shared" si="5"/>
        <v>3032094.9840053245</v>
      </c>
      <c r="L20" s="1">
        <f t="shared" si="7"/>
        <v>1683500.6859799339</v>
      </c>
      <c r="M20" s="14">
        <f t="shared" si="0"/>
        <v>3542.9524559060264</v>
      </c>
      <c r="N20" s="14">
        <f t="shared" si="0"/>
        <v>1683.5006859799339</v>
      </c>
      <c r="O20" s="14">
        <f t="shared" si="2"/>
        <v>908.54742158593353</v>
      </c>
      <c r="P20" s="14">
        <f t="shared" si="1"/>
        <v>1683.5006859799339</v>
      </c>
      <c r="Q20" s="14">
        <f t="shared" si="6"/>
        <v>3922.586731291668</v>
      </c>
      <c r="R20" s="7">
        <f t="shared" si="8"/>
        <v>0.90321838587858783</v>
      </c>
    </row>
    <row r="21" spans="1:18" ht="16.5" thickTop="1" thickBot="1">
      <c r="A21" s="21" t="s">
        <v>34</v>
      </c>
      <c r="B21" s="5">
        <f>IF(B25=1,(IF(B9*B10&gt;B18,B18,B9*B10))*Ii_r,B26)</f>
        <v>1242.3200000000002</v>
      </c>
      <c r="F21" s="16"/>
      <c r="H21" s="33">
        <f>'V_1,1pu_DIG'!H21</f>
        <v>3598311.0880295583</v>
      </c>
      <c r="I21" s="8">
        <f t="shared" si="3"/>
        <v>1521081.7266458697</v>
      </c>
      <c r="J21" s="12">
        <f t="shared" si="4"/>
        <v>624.14313500861851</v>
      </c>
      <c r="K21" s="1">
        <f t="shared" si="5"/>
        <v>3023748.5739048589</v>
      </c>
      <c r="L21" s="1">
        <f t="shared" si="7"/>
        <v>1521081.7266458697</v>
      </c>
      <c r="M21" s="14">
        <f t="shared" si="0"/>
        <v>3598.3110880295585</v>
      </c>
      <c r="N21" s="14">
        <f t="shared" si="0"/>
        <v>1521.0817266458696</v>
      </c>
      <c r="O21" s="14">
        <f t="shared" si="2"/>
        <v>902.52468306232447</v>
      </c>
      <c r="P21" s="14">
        <f t="shared" si="1"/>
        <v>1521.0817266458696</v>
      </c>
      <c r="Q21" s="14">
        <f t="shared" si="6"/>
        <v>3906.6011193072227</v>
      </c>
      <c r="R21" s="7">
        <f t="shared" si="8"/>
        <v>0.92108484540332725</v>
      </c>
    </row>
    <row r="22" spans="1:18" ht="20.25" thickTop="1" thickBot="1">
      <c r="A22" s="21" t="s">
        <v>59</v>
      </c>
      <c r="B22" s="1">
        <f>Nm*SQRT(3)*B3*Ii/K_3^2</f>
        <v>3784517.3960814383</v>
      </c>
      <c r="C22" s="25" t="s">
        <v>74</v>
      </c>
      <c r="D22" s="26">
        <f>B22/1000</f>
        <v>3784.5173960814382</v>
      </c>
      <c r="F22" s="16"/>
      <c r="H22" s="33">
        <f>'V_1,1pu_DIG'!H22</f>
        <v>3653669.7201530901</v>
      </c>
      <c r="I22" s="8">
        <f t="shared" si="3"/>
        <v>1327927.7954183186</v>
      </c>
      <c r="J22" s="12">
        <f t="shared" si="4"/>
        <v>619.09714064616207</v>
      </c>
      <c r="K22" s="1">
        <f t="shared" si="5"/>
        <v>3015269.7502288157</v>
      </c>
      <c r="L22" s="1">
        <f t="shared" si="7"/>
        <v>1327927.7954183186</v>
      </c>
      <c r="M22" s="14">
        <f t="shared" si="0"/>
        <v>3653.6697201530901</v>
      </c>
      <c r="N22" s="14">
        <f t="shared" si="0"/>
        <v>1327.9277954183185</v>
      </c>
      <c r="O22" s="14">
        <f t="shared" si="2"/>
        <v>895.30891112401173</v>
      </c>
      <c r="P22" s="14">
        <f t="shared" si="1"/>
        <v>1327.9277954183185</v>
      </c>
      <c r="Q22" s="14">
        <f t="shared" si="6"/>
        <v>3887.5049393934041</v>
      </c>
      <c r="R22" s="7">
        <f t="shared" si="8"/>
        <v>0.9398495377148508</v>
      </c>
    </row>
    <row r="23" spans="1:18" ht="20.25" thickTop="1" thickBot="1">
      <c r="A23" s="21" t="s">
        <v>51</v>
      </c>
      <c r="B23" s="1">
        <f>B3*Ii*SQRT(3)*Nm</f>
        <v>3762139.5605283789</v>
      </c>
      <c r="C23" s="25" t="s">
        <v>52</v>
      </c>
      <c r="D23" s="26">
        <f>B23/1000</f>
        <v>3762.1395605283788</v>
      </c>
      <c r="F23" s="16"/>
      <c r="H23" s="33">
        <f>'V_1,1pu_DIG'!H23</f>
        <v>3709028.3522766219</v>
      </c>
      <c r="I23" s="8">
        <f t="shared" si="3"/>
        <v>1078817.8405248146</v>
      </c>
      <c r="J23" s="12">
        <f t="shared" si="4"/>
        <v>612.52796566710526</v>
      </c>
      <c r="K23" s="1">
        <f t="shared" si="5"/>
        <v>3006658.3706300464</v>
      </c>
      <c r="L23" s="1">
        <f t="shared" si="7"/>
        <v>1078817.8405248146</v>
      </c>
      <c r="M23" s="14">
        <f t="shared" si="0"/>
        <v>3709.0283522766217</v>
      </c>
      <c r="N23" s="14">
        <f t="shared" si="0"/>
        <v>1078.8178405248145</v>
      </c>
      <c r="O23" s="14">
        <f t="shared" si="2"/>
        <v>885.91499090396053</v>
      </c>
      <c r="P23" s="14">
        <f t="shared" si="1"/>
        <v>1078.8178405248145</v>
      </c>
      <c r="Q23" s="14">
        <f t="shared" si="6"/>
        <v>3862.7372743983583</v>
      </c>
      <c r="R23" s="7">
        <f t="shared" si="8"/>
        <v>0.9602072542855824</v>
      </c>
    </row>
    <row r="24" spans="1:18" ht="16.5" thickTop="1" thickBot="1">
      <c r="A24" s="27"/>
      <c r="F24" s="16"/>
      <c r="H24" s="33">
        <f>'V_1,1pu_DIG'!H24</f>
        <v>3764386.9844001536</v>
      </c>
      <c r="I24" s="8">
        <f t="shared" si="3"/>
        <v>644653.3445022637</v>
      </c>
      <c r="J24" s="12">
        <f t="shared" si="4"/>
        <v>600.90716580419553</v>
      </c>
      <c r="K24" s="1">
        <f t="shared" si="5"/>
        <v>2997914.2903270517</v>
      </c>
      <c r="L24" s="1">
        <f t="shared" si="7"/>
        <v>644653.3445022637</v>
      </c>
      <c r="M24" s="14">
        <f t="shared" si="0"/>
        <v>3764.3869844001538</v>
      </c>
      <c r="N24" s="14">
        <f t="shared" si="0"/>
        <v>644.65334450226374</v>
      </c>
      <c r="O24" s="14">
        <f t="shared" si="2"/>
        <v>869.29724709999959</v>
      </c>
      <c r="P24" s="14">
        <f t="shared" si="1"/>
        <v>644.65334450226374</v>
      </c>
      <c r="Q24" s="14">
        <f t="shared" si="6"/>
        <v>3819.1867331801463</v>
      </c>
      <c r="R24" s="7">
        <f t="shared" si="8"/>
        <v>0.98565146126427761</v>
      </c>
    </row>
    <row r="25" spans="1:18" ht="16.5" thickTop="1" thickBot="1">
      <c r="A25" s="3" t="s">
        <v>38</v>
      </c>
      <c r="B25" s="6">
        <f>Capability!B25</f>
        <v>1</v>
      </c>
      <c r="F25" s="16"/>
      <c r="H25" s="33">
        <f>'V_1,1pu_DIG'!H25</f>
        <v>3819745.6165236854</v>
      </c>
      <c r="I25" s="8">
        <f t="shared" si="3"/>
        <v>385282.48070961545</v>
      </c>
      <c r="J25" s="12">
        <f t="shared" si="4"/>
        <v>594.08545486035496</v>
      </c>
      <c r="K25" s="1">
        <f t="shared" si="5"/>
        <v>2989037.3620914398</v>
      </c>
      <c r="L25" s="1">
        <f t="shared" si="7"/>
        <v>385282.48070961545</v>
      </c>
      <c r="M25" s="14">
        <f t="shared" si="0"/>
        <v>3819.7456165236854</v>
      </c>
      <c r="N25" s="14">
        <f t="shared" si="0"/>
        <v>385.28248070961547</v>
      </c>
      <c r="O25" s="14">
        <f t="shared" si="2"/>
        <v>859.54220045030752</v>
      </c>
      <c r="P25" s="14">
        <f t="shared" si="1"/>
        <v>385.28248070961547</v>
      </c>
      <c r="Q25" s="14">
        <f t="shared" si="6"/>
        <v>3839.127396283388</v>
      </c>
      <c r="R25" s="7">
        <f t="shared" si="8"/>
        <v>0.99495151430023765</v>
      </c>
    </row>
    <row r="26" spans="1:18" ht="16.5" thickTop="1" thickBot="1">
      <c r="A26" s="3" t="s">
        <v>25</v>
      </c>
      <c r="B26" s="6">
        <f>Capability!B26</f>
        <v>1250</v>
      </c>
      <c r="F26" s="16"/>
      <c r="H26" s="33">
        <f>'V_1,1pu_DIG'!H26</f>
        <v>3875104.2486472172</v>
      </c>
      <c r="I26" s="8">
        <f t="shared" si="3"/>
        <v>385282.48070961545</v>
      </c>
      <c r="J26" s="12">
        <f t="shared" si="4"/>
        <v>594.36210274762448</v>
      </c>
      <c r="K26" s="1">
        <f t="shared" si="5"/>
        <v>2980027.4362351215</v>
      </c>
      <c r="L26" s="1">
        <f t="shared" si="7"/>
        <v>385282.48070961545</v>
      </c>
      <c r="M26" s="14">
        <f t="shared" si="0"/>
        <v>3875.104248647217</v>
      </c>
      <c r="N26" s="14">
        <f t="shared" si="0"/>
        <v>385.28248070961547</v>
      </c>
      <c r="O26" s="14">
        <f t="shared" si="2"/>
        <v>859.93780692910298</v>
      </c>
      <c r="P26" s="14">
        <f t="shared" si="1"/>
        <v>385.28248070961547</v>
      </c>
      <c r="Q26" s="14">
        <f t="shared" si="6"/>
        <v>3894.2105140612862</v>
      </c>
      <c r="R26" s="7">
        <f t="shared" si="8"/>
        <v>0.99509367422611594</v>
      </c>
    </row>
    <row r="27" spans="1:18" ht="16.5" thickTop="1" thickBot="1">
      <c r="A27" s="27"/>
      <c r="F27" s="16"/>
      <c r="H27" s="33">
        <f>'V_1,1pu_DIG'!H27</f>
        <v>3930462.8807707489</v>
      </c>
      <c r="I27" s="8">
        <f t="shared" si="3"/>
        <v>385282.48070961545</v>
      </c>
      <c r="J27" s="12">
        <f t="shared" si="4"/>
        <v>594.64259968292777</v>
      </c>
      <c r="K27" s="1">
        <f t="shared" si="5"/>
        <v>2970884.3605972677</v>
      </c>
      <c r="L27" s="1">
        <f t="shared" si="7"/>
        <v>385282.48070961545</v>
      </c>
      <c r="M27" s="14">
        <f t="shared" si="0"/>
        <v>3930.4628807707491</v>
      </c>
      <c r="N27" s="14">
        <f t="shared" si="0"/>
        <v>385.28248070961547</v>
      </c>
      <c r="O27" s="14">
        <f t="shared" si="2"/>
        <v>860.33891754658669</v>
      </c>
      <c r="P27" s="14">
        <f t="shared" si="1"/>
        <v>385.28248070961547</v>
      </c>
      <c r="Q27" s="14">
        <f t="shared" si="6"/>
        <v>3949.3013365731476</v>
      </c>
      <c r="R27" s="7">
        <f t="shared" si="8"/>
        <v>0.9952299269676026</v>
      </c>
    </row>
    <row r="28" spans="1:18" ht="16.5" thickTop="1" thickBot="1">
      <c r="A28" s="27" t="s">
        <v>73</v>
      </c>
      <c r="F28" s="16"/>
      <c r="H28" s="33">
        <f>'V_1,1pu_DIG'!H28</f>
        <v>3985821.5128942807</v>
      </c>
      <c r="I28" s="8">
        <f t="shared" si="3"/>
        <v>385282.48070961545</v>
      </c>
      <c r="J28" s="12">
        <f t="shared" si="4"/>
        <v>594.92694022200226</v>
      </c>
      <c r="K28" s="1">
        <f t="shared" si="5"/>
        <v>2961607.980531022</v>
      </c>
      <c r="L28" s="1">
        <f t="shared" si="7"/>
        <v>385282.48070961545</v>
      </c>
      <c r="M28" s="14">
        <f t="shared" si="0"/>
        <v>3985.8215128942807</v>
      </c>
      <c r="N28" s="14">
        <f t="shared" si="0"/>
        <v>385.28248070961547</v>
      </c>
      <c r="O28" s="14">
        <f t="shared" si="2"/>
        <v>860.7455245174632</v>
      </c>
      <c r="P28" s="14">
        <f t="shared" si="1"/>
        <v>385.28248070961547</v>
      </c>
      <c r="Q28" s="14">
        <f t="shared" si="6"/>
        <v>4004.3995458236441</v>
      </c>
      <c r="R28" s="7">
        <f t="shared" si="8"/>
        <v>0.99536059458683657</v>
      </c>
    </row>
    <row r="29" spans="1:18" ht="16.5" thickTop="1" thickBot="1">
      <c r="A29" s="3" t="s">
        <v>54</v>
      </c>
      <c r="B29" s="6">
        <f>Capability!B29</f>
        <v>2846</v>
      </c>
      <c r="C29" s="2">
        <f>IF(B29&gt;D23,D23,B29)</f>
        <v>2846</v>
      </c>
      <c r="F29" s="16"/>
      <c r="H29" s="33">
        <f>'V_1,1pu_DIG'!H29</f>
        <v>4041180.1450178125</v>
      </c>
      <c r="I29" s="8">
        <f t="shared" si="3"/>
        <v>385282.48070961545</v>
      </c>
      <c r="J29" s="12">
        <f t="shared" si="4"/>
        <v>595.21511885645805</v>
      </c>
      <c r="K29" s="1">
        <f t="shared" si="5"/>
        <v>2952198.1388899516</v>
      </c>
      <c r="L29" s="1">
        <f t="shared" si="7"/>
        <v>385282.48070961545</v>
      </c>
      <c r="M29" s="14">
        <f t="shared" si="0"/>
        <v>4041.1801450178127</v>
      </c>
      <c r="N29" s="14">
        <f t="shared" si="0"/>
        <v>385.28248070961547</v>
      </c>
      <c r="O29" s="14">
        <f t="shared" si="2"/>
        <v>861.15761996473498</v>
      </c>
      <c r="P29" s="14">
        <f t="shared" si="1"/>
        <v>385.28248070961547</v>
      </c>
      <c r="Q29" s="14">
        <f t="shared" si="6"/>
        <v>4059.5048410400923</v>
      </c>
      <c r="R29" s="7">
        <f t="shared" si="8"/>
        <v>0.99548597754163914</v>
      </c>
    </row>
    <row r="30" spans="1:18" ht="16.5" thickTop="1" thickBot="1">
      <c r="A30" s="27"/>
      <c r="B30" s="1" t="s">
        <v>69</v>
      </c>
      <c r="C30" s="1">
        <f xml:space="preserve"> Nm/1000*(-SQRT(3/K_3^2*Ii^2*B3^2-($C$29*1000/Nm)^2)+B3^2*K_4/K_3)</f>
        <v>-2092.2498830155951</v>
      </c>
      <c r="F30" s="16"/>
      <c r="H30" s="33">
        <f>'V_1,1pu_DIG'!H30</f>
        <v>4096538.7771413443</v>
      </c>
      <c r="I30" s="8">
        <f t="shared" si="3"/>
        <v>385282.48070961545</v>
      </c>
      <c r="J30" s="12">
        <f t="shared" si="4"/>
        <v>595.50713001428562</v>
      </c>
      <c r="K30" s="1">
        <f t="shared" si="5"/>
        <v>2942654.6760142604</v>
      </c>
      <c r="L30" s="1">
        <f t="shared" si="7"/>
        <v>385282.48070961545</v>
      </c>
      <c r="M30" s="14">
        <f t="shared" si="0"/>
        <v>4096.5387771413443</v>
      </c>
      <c r="N30" s="14">
        <f t="shared" si="0"/>
        <v>385.28248070961547</v>
      </c>
      <c r="O30" s="14">
        <f t="shared" si="2"/>
        <v>861.57519592042843</v>
      </c>
      <c r="P30" s="14">
        <f t="shared" si="1"/>
        <v>385.28248070961547</v>
      </c>
      <c r="Q30" s="14">
        <f t="shared" si="6"/>
        <v>4114.6169375246163</v>
      </c>
      <c r="R30" s="7">
        <f t="shared" si="8"/>
        <v>0.99560635639774819</v>
      </c>
    </row>
    <row r="31" spans="1:18" ht="16.5" thickTop="1" thickBot="1">
      <c r="A31" s="27"/>
      <c r="B31" s="1" t="s">
        <v>68</v>
      </c>
      <c r="C31" s="1">
        <f>IF(ABS( Nm/1000*(SQRT(3/K_3^2*Ii^2*B3^2-($C$29*1000/Nm)^2)+B3^2*K_4/K_3))&lt;ABS(Nm/1000*(SQRT(Vi^2*B3^2/K_2^2-($C$29*1000/Nm)^2)-B3^2*K_1/K_2)),Nm/1000*(SQRT(3/K_3^2*Ii^2*B3^2-($C$29*1000/Nm)^2)+B3^2*K_4/K_3), Nm/1000*(SQRT(Vi^2*B3^2/K_2^2-($C$29*1000/Nm)^2)-B3^2*K_1/K_2))</f>
        <v>2862.8148444348267</v>
      </c>
      <c r="F31" s="16"/>
      <c r="H31" s="33">
        <f>'V_1,1pu_DIG'!H31</f>
        <v>4151897.409264876</v>
      </c>
      <c r="I31" s="8">
        <f t="shared" si="3"/>
        <v>385282.48070961545</v>
      </c>
      <c r="J31" s="12">
        <f t="shared" si="4"/>
        <v>595.80296806036927</v>
      </c>
      <c r="K31" s="1">
        <f t="shared" si="5"/>
        <v>2932977.4297167342</v>
      </c>
      <c r="L31" s="1">
        <f t="shared" si="7"/>
        <v>385282.48070961545</v>
      </c>
      <c r="M31" s="14">
        <f t="shared" si="0"/>
        <v>4151.8974092648759</v>
      </c>
      <c r="N31" s="14">
        <f t="shared" si="0"/>
        <v>385.28248070961547</v>
      </c>
      <c r="O31" s="14">
        <f t="shared" si="2"/>
        <v>861.99824432632806</v>
      </c>
      <c r="P31" s="14">
        <f t="shared" si="1"/>
        <v>385.28248070961547</v>
      </c>
      <c r="Q31" s="14">
        <f t="shared" si="6"/>
        <v>4169.735565596714</v>
      </c>
      <c r="R31" s="7">
        <f t="shared" si="8"/>
        <v>0.99572199338514045</v>
      </c>
    </row>
    <row r="32" spans="1:18" ht="16.5" thickTop="1" thickBot="1">
      <c r="A32" s="3" t="s">
        <v>55</v>
      </c>
      <c r="B32" s="6">
        <f>Capability!B32</f>
        <v>0</v>
      </c>
      <c r="C32" s="2">
        <f>IF(B32&lt;C30,C30,IF(B32&gt;C31,C31,B32))</f>
        <v>0</v>
      </c>
      <c r="F32" s="16"/>
      <c r="H32" s="33">
        <f>'V_1,1pu_DIG'!H32</f>
        <v>4207256.0413884073</v>
      </c>
      <c r="I32" s="8">
        <f t="shared" si="3"/>
        <v>385282.48070961545</v>
      </c>
      <c r="J32" s="12">
        <f t="shared" si="4"/>
        <v>596.10262729700298</v>
      </c>
      <c r="K32" s="1">
        <f t="shared" si="5"/>
        <v>2923166.2352684196</v>
      </c>
      <c r="L32" s="1">
        <f t="shared" si="7"/>
        <v>385282.48070961545</v>
      </c>
      <c r="M32" s="14">
        <f t="shared" si="0"/>
        <v>4207.2560413884075</v>
      </c>
      <c r="N32" s="14">
        <f t="shared" si="0"/>
        <v>385.28248070961547</v>
      </c>
      <c r="O32" s="14">
        <f t="shared" si="2"/>
        <v>862.42675703471423</v>
      </c>
      <c r="P32" s="14">
        <f t="shared" si="1"/>
        <v>385.28248070961547</v>
      </c>
      <c r="Q32" s="14">
        <f t="shared" si="6"/>
        <v>4224.8604696180219</v>
      </c>
      <c r="R32" s="7">
        <f t="shared" si="8"/>
        <v>0.99583313381442728</v>
      </c>
    </row>
    <row r="33" spans="1:18" ht="16.5" thickTop="1" thickBot="1">
      <c r="A33" s="21" t="s">
        <v>56</v>
      </c>
      <c r="B33" s="1">
        <f>C29/SQRT(C29^2+C32^2)</f>
        <v>1</v>
      </c>
      <c r="C33" s="1" t="s">
        <v>60</v>
      </c>
      <c r="D33" s="1">
        <f>SQRT(C29^2+C32^2)/(SQRT(3)*B3)*1000</f>
        <v>2819.3872102156402</v>
      </c>
      <c r="F33" s="16"/>
      <c r="H33" s="33">
        <f>'V_1,1pu_DIG'!H33</f>
        <v>4262614.6735119391</v>
      </c>
      <c r="I33" s="8">
        <f t="shared" si="3"/>
        <v>385282.48070961545</v>
      </c>
      <c r="J33" s="12">
        <f t="shared" si="4"/>
        <v>596.40610196441162</v>
      </c>
      <c r="K33" s="1">
        <f t="shared" si="5"/>
        <v>2913220.9253840614</v>
      </c>
      <c r="L33" s="1">
        <f t="shared" si="7"/>
        <v>385282.48070961545</v>
      </c>
      <c r="M33" s="14">
        <f t="shared" si="0"/>
        <v>4262.6146735119391</v>
      </c>
      <c r="N33" s="14">
        <f t="shared" si="0"/>
        <v>385.28248070961547</v>
      </c>
      <c r="O33" s="14">
        <f t="shared" si="2"/>
        <v>862.86072580910854</v>
      </c>
      <c r="P33" s="14">
        <f t="shared" si="1"/>
        <v>385.28248070961547</v>
      </c>
      <c r="Q33" s="14">
        <f t="shared" si="6"/>
        <v>4279.991407091964</v>
      </c>
      <c r="R33" s="7">
        <f t="shared" si="8"/>
        <v>0.99594000736748411</v>
      </c>
    </row>
    <row r="34" spans="1:18" ht="20.25" thickTop="1" thickBot="1">
      <c r="A34" s="23" t="s">
        <v>57</v>
      </c>
      <c r="B34" s="25">
        <f>Vdc_offset+Vac_to_Vdc*SQRT(3)*SQRT(K_1^2*B3^2/3+K_2^2/3*($C$29^2+$C$32^2)*1000^2/B3^2/Nm^2+2/3*K_1*K_2*$C$32*1000/Nm)</f>
        <v>838.32542997216206</v>
      </c>
      <c r="F34" s="16"/>
      <c r="H34" s="33">
        <f>'V_1,1pu_DIG'!H34</f>
        <v>4317973.3056354709</v>
      </c>
      <c r="I34" s="8">
        <f t="shared" si="3"/>
        <v>385282.48070961545</v>
      </c>
      <c r="J34" s="12">
        <f t="shared" si="4"/>
        <v>596.71338624127497</v>
      </c>
      <c r="K34" s="1">
        <f t="shared" si="5"/>
        <v>2903141.3302072585</v>
      </c>
      <c r="L34" s="1">
        <f t="shared" si="7"/>
        <v>385282.48070961545</v>
      </c>
      <c r="M34" s="14">
        <f t="shared" si="0"/>
        <v>4317.9733056354708</v>
      </c>
      <c r="N34" s="14">
        <f t="shared" si="0"/>
        <v>385.28248070961547</v>
      </c>
      <c r="O34" s="14">
        <f t="shared" si="2"/>
        <v>863.30014232502322</v>
      </c>
      <c r="P34" s="14">
        <f t="shared" si="1"/>
        <v>385.28248070961547</v>
      </c>
      <c r="Q34" s="14">
        <f t="shared" si="6"/>
        <v>4335.1281478316496</v>
      </c>
      <c r="R34" s="7">
        <f t="shared" si="8"/>
        <v>0.99604282927489485</v>
      </c>
    </row>
    <row r="35" spans="1:18" ht="16.5" thickTop="1" thickBot="1">
      <c r="A35" s="21" t="s">
        <v>58</v>
      </c>
      <c r="B35" s="1">
        <f>SQRT(3)*SQRT(K_1^2*B3^2/3+K_2^2/3*($C$29^2+$C$32^2)*1000^2/B3^2/Nm^2+2/3*K_1*K_2*$C$32*1000/Nm)</f>
        <v>579.2485524280853</v>
      </c>
      <c r="F35" s="16"/>
      <c r="H35" s="33">
        <f>'V_1,1pu_DIG'!H35</f>
        <v>4373331.9377590027</v>
      </c>
      <c r="I35" s="8">
        <f t="shared" si="3"/>
        <v>385282.48070961545</v>
      </c>
      <c r="J35" s="12">
        <f t="shared" si="4"/>
        <v>597.02447424525576</v>
      </c>
      <c r="K35" s="1">
        <f t="shared" si="5"/>
        <v>2892927.2772953482</v>
      </c>
      <c r="L35" s="1">
        <f t="shared" si="7"/>
        <v>385282.48070961545</v>
      </c>
      <c r="M35" s="14">
        <f t="shared" si="0"/>
        <v>4373.3319377590024</v>
      </c>
      <c r="N35" s="14">
        <f t="shared" si="0"/>
        <v>385.28248070961547</v>
      </c>
      <c r="O35" s="14">
        <f t="shared" si="2"/>
        <v>863.74499817071569</v>
      </c>
      <c r="P35" s="14">
        <f t="shared" si="1"/>
        <v>385.28248070961547</v>
      </c>
      <c r="Q35" s="14">
        <f t="shared" si="6"/>
        <v>4390.2704731900812</v>
      </c>
      <c r="R35" s="7">
        <f t="shared" si="8"/>
        <v>0.99614180139139108</v>
      </c>
    </row>
    <row r="36" spans="1:18" ht="16.5" thickTop="1" thickBot="1">
      <c r="F36" s="16"/>
      <c r="H36" s="33">
        <f>'V_1,1pu_DIG'!H36</f>
        <v>4428690.5698825344</v>
      </c>
      <c r="I36" s="8">
        <f t="shared" si="3"/>
        <v>385282.48070961545</v>
      </c>
      <c r="J36" s="12">
        <f t="shared" ref="J36:J67" si="9">SQRT(3)*SQRT(($B$3/SQRT(3)*K_1+SQRT(H36^2+I36^2)/SQRT(3)/$B$3/Nm*I36/SQRT(H36^2+I36^2)*K_2)^2+(SQRT(H36^2+I36^2)/SQRT(3)/$B$3/Nm*H36/SQRT(H36^2+I36^2)*K_2)^2)</f>
        <v>597.33936003353176</v>
      </c>
      <c r="K36" s="1">
        <f t="shared" si="5"/>
        <v>2882578.591604026</v>
      </c>
      <c r="L36" s="1">
        <f t="shared" si="7"/>
        <v>385282.48070961545</v>
      </c>
      <c r="M36" s="14">
        <f t="shared" si="0"/>
        <v>4428.6905698825349</v>
      </c>
      <c r="N36" s="14">
        <f t="shared" si="0"/>
        <v>385.28248070961547</v>
      </c>
      <c r="O36" s="14">
        <f t="shared" si="2"/>
        <v>864.19528484795035</v>
      </c>
      <c r="P36" s="14">
        <f t="shared" si="1"/>
        <v>385.28248070961547</v>
      </c>
      <c r="Q36" s="14">
        <f t="shared" si="6"/>
        <v>4445.4181753473149</v>
      </c>
      <c r="R36" s="7">
        <f t="shared" si="8"/>
        <v>0.99623711317924035</v>
      </c>
    </row>
    <row r="37" spans="1:18" ht="16.5" thickTop="1" thickBot="1">
      <c r="F37" s="16"/>
      <c r="H37" s="33">
        <f>'V_1,1pu_DIG'!H37</f>
        <v>4373331.9377590027</v>
      </c>
      <c r="I37" s="8">
        <f t="shared" ref="I37:I68" si="10">Nm*(-SQRT(IF(3/K_3^2*Ii^2*$B$3^2-(H37/Nm)^2&lt;0.0000000001,0,3/K_3^2*Ii^2*$B$3^2-(H37/Nm)^2))+$B$3^2/K_3*K_4)</f>
        <v>385282.48070961545</v>
      </c>
      <c r="J37" s="12">
        <f t="shared" si="9"/>
        <v>597.02447424525576</v>
      </c>
      <c r="K37" s="1">
        <f t="shared" ref="K37:K68" si="11">Nm*(-SQRT(Vi^2*$B$3^2/K_2^2-(H37/Nm)^2)-$B$3^2*K_1/K_2)</f>
        <v>-44202427.222439125</v>
      </c>
      <c r="L37" s="1">
        <f t="shared" si="7"/>
        <v>385282.48070961545</v>
      </c>
      <c r="M37" s="14">
        <f t="shared" si="0"/>
        <v>4373.3319377590024</v>
      </c>
      <c r="N37" s="14">
        <f t="shared" si="0"/>
        <v>385.28248070961547</v>
      </c>
      <c r="O37" s="14">
        <f t="shared" si="2"/>
        <v>863.74499817071569</v>
      </c>
      <c r="P37" s="14">
        <f t="shared" si="1"/>
        <v>385.28248070961547</v>
      </c>
      <c r="Q37" s="14">
        <f t="shared" si="6"/>
        <v>4390.2704731900812</v>
      </c>
      <c r="R37" s="7">
        <f t="shared" si="8"/>
        <v>0.99614180139139108</v>
      </c>
    </row>
    <row r="38" spans="1:18" ht="16.5" thickTop="1" thickBot="1">
      <c r="F38" s="16"/>
      <c r="H38" s="33">
        <f>'V_1,1pu_DIG'!H38</f>
        <v>4317973.3056354709</v>
      </c>
      <c r="I38" s="8">
        <f t="shared" si="10"/>
        <v>385282.48070961545</v>
      </c>
      <c r="J38" s="12">
        <f t="shared" si="9"/>
        <v>596.71338624127497</v>
      </c>
      <c r="K38" s="1">
        <f t="shared" si="11"/>
        <v>-44212641.275351033</v>
      </c>
      <c r="L38" s="1">
        <f t="shared" si="7"/>
        <v>385282.48070961545</v>
      </c>
      <c r="M38" s="14">
        <f t="shared" si="0"/>
        <v>4317.9733056354708</v>
      </c>
      <c r="N38" s="14">
        <f t="shared" si="0"/>
        <v>385.28248070961547</v>
      </c>
      <c r="O38" s="14">
        <f t="shared" si="2"/>
        <v>863.30014232502322</v>
      </c>
      <c r="P38" s="14">
        <f t="shared" si="1"/>
        <v>385.28248070961547</v>
      </c>
      <c r="Q38" s="14">
        <f t="shared" si="6"/>
        <v>4335.1281478316496</v>
      </c>
      <c r="R38" s="7">
        <f t="shared" si="8"/>
        <v>0.99604282927489485</v>
      </c>
    </row>
    <row r="39" spans="1:18" ht="16.5" thickTop="1" thickBot="1">
      <c r="F39" s="16"/>
      <c r="H39" s="33">
        <f>'V_1,1pu_DIG'!H39</f>
        <v>4262614.6735119391</v>
      </c>
      <c r="I39" s="8">
        <f t="shared" si="10"/>
        <v>385282.48070961545</v>
      </c>
      <c r="J39" s="12">
        <f t="shared" si="9"/>
        <v>596.40610196441162</v>
      </c>
      <c r="K39" s="1">
        <f t="shared" si="11"/>
        <v>-44222720.870527834</v>
      </c>
      <c r="L39" s="1">
        <f t="shared" si="7"/>
        <v>385282.48070961545</v>
      </c>
      <c r="M39" s="14">
        <f t="shared" si="0"/>
        <v>4262.6146735119391</v>
      </c>
      <c r="N39" s="14">
        <f t="shared" si="0"/>
        <v>385.28248070961547</v>
      </c>
      <c r="O39" s="14">
        <f t="shared" si="2"/>
        <v>862.86072580910854</v>
      </c>
      <c r="P39" s="14">
        <f t="shared" si="1"/>
        <v>385.28248070961547</v>
      </c>
      <c r="Q39" s="14">
        <f t="shared" si="6"/>
        <v>4279.991407091964</v>
      </c>
      <c r="R39" s="7">
        <f t="shared" si="8"/>
        <v>0.99594000736748411</v>
      </c>
    </row>
    <row r="40" spans="1:18" ht="16.5" thickTop="1" thickBot="1">
      <c r="F40" s="16"/>
      <c r="H40" s="33">
        <f>'V_1,1pu_DIG'!H40</f>
        <v>4207256.0413884073</v>
      </c>
      <c r="I40" s="8">
        <f t="shared" si="10"/>
        <v>385282.48070961545</v>
      </c>
      <c r="J40" s="12">
        <f t="shared" si="9"/>
        <v>596.10262729700298</v>
      </c>
      <c r="K40" s="1">
        <f t="shared" si="11"/>
        <v>-44232666.180412196</v>
      </c>
      <c r="L40" s="1">
        <f t="shared" si="7"/>
        <v>385282.48070961545</v>
      </c>
      <c r="M40" s="14">
        <f t="shared" si="0"/>
        <v>4207.2560413884075</v>
      </c>
      <c r="N40" s="14">
        <f t="shared" si="0"/>
        <v>385.28248070961547</v>
      </c>
      <c r="O40" s="14">
        <f t="shared" si="2"/>
        <v>862.42675703471423</v>
      </c>
      <c r="P40" s="14">
        <f t="shared" si="1"/>
        <v>385.28248070961547</v>
      </c>
      <c r="Q40" s="14">
        <f t="shared" si="6"/>
        <v>4224.8604696180219</v>
      </c>
      <c r="R40" s="7">
        <f t="shared" si="8"/>
        <v>0.99583313381442728</v>
      </c>
    </row>
    <row r="41" spans="1:18" ht="16.5" thickTop="1" thickBot="1">
      <c r="F41" s="16"/>
      <c r="H41" s="33">
        <f>'V_1,1pu_DIG'!H41</f>
        <v>4151897.4092648756</v>
      </c>
      <c r="I41" s="8">
        <f t="shared" si="10"/>
        <v>385282.48070961545</v>
      </c>
      <c r="J41" s="12">
        <f t="shared" si="9"/>
        <v>595.80296806036927</v>
      </c>
      <c r="K41" s="1">
        <f t="shared" si="11"/>
        <v>-44242477.37486051</v>
      </c>
      <c r="L41" s="1">
        <f t="shared" si="7"/>
        <v>385282.48070961545</v>
      </c>
      <c r="M41" s="14">
        <f t="shared" si="0"/>
        <v>4151.8974092648759</v>
      </c>
      <c r="N41" s="14">
        <f t="shared" si="0"/>
        <v>385.28248070961547</v>
      </c>
      <c r="O41" s="14">
        <f t="shared" si="2"/>
        <v>861.99824432632806</v>
      </c>
      <c r="P41" s="14">
        <f t="shared" si="1"/>
        <v>385.28248070961547</v>
      </c>
      <c r="Q41" s="14">
        <f t="shared" si="6"/>
        <v>4169.735565596714</v>
      </c>
      <c r="R41" s="7">
        <f t="shared" si="8"/>
        <v>0.99572199338514045</v>
      </c>
    </row>
    <row r="42" spans="1:18" ht="16.5" thickTop="1" thickBot="1">
      <c r="F42" s="16"/>
      <c r="H42" s="33">
        <f>'V_1,1pu_DIG'!H42</f>
        <v>4096538.7771413438</v>
      </c>
      <c r="I42" s="8">
        <f t="shared" si="10"/>
        <v>385282.48070961545</v>
      </c>
      <c r="J42" s="12">
        <f t="shared" si="9"/>
        <v>595.50713001428562</v>
      </c>
      <c r="K42" s="1">
        <f t="shared" si="11"/>
        <v>-44252154.621158034</v>
      </c>
      <c r="L42" s="1">
        <f t="shared" si="7"/>
        <v>385282.48070961545</v>
      </c>
      <c r="M42" s="14">
        <f t="shared" si="0"/>
        <v>4096.5387771413434</v>
      </c>
      <c r="N42" s="14">
        <f t="shared" si="0"/>
        <v>385.28248070961547</v>
      </c>
      <c r="O42" s="14">
        <f t="shared" si="2"/>
        <v>861.57519592042843</v>
      </c>
      <c r="P42" s="14">
        <f t="shared" si="1"/>
        <v>385.28248070961547</v>
      </c>
      <c r="Q42" s="14">
        <f t="shared" si="6"/>
        <v>4114.6169375246154</v>
      </c>
      <c r="R42" s="7">
        <f t="shared" si="8"/>
        <v>0.99560635639774819</v>
      </c>
    </row>
    <row r="43" spans="1:18" ht="16.5" thickTop="1" thickBot="1">
      <c r="F43" s="16"/>
      <c r="H43" s="33">
        <f>'V_1,1pu_DIG'!H43</f>
        <v>4041180.145017812</v>
      </c>
      <c r="I43" s="8">
        <f t="shared" si="10"/>
        <v>385282.48070961545</v>
      </c>
      <c r="J43" s="12">
        <f t="shared" si="9"/>
        <v>595.21511885645805</v>
      </c>
      <c r="K43" s="1">
        <f t="shared" si="11"/>
        <v>-44261698.084033728</v>
      </c>
      <c r="L43" s="1">
        <f t="shared" si="7"/>
        <v>385282.48070961545</v>
      </c>
      <c r="M43" s="14">
        <f t="shared" si="0"/>
        <v>4041.1801450178118</v>
      </c>
      <c r="N43" s="14">
        <f t="shared" si="0"/>
        <v>385.28248070961547</v>
      </c>
      <c r="O43" s="14">
        <f t="shared" si="2"/>
        <v>861.15761996473498</v>
      </c>
      <c r="P43" s="14">
        <f t="shared" si="1"/>
        <v>385.28248070961547</v>
      </c>
      <c r="Q43" s="14">
        <f t="shared" si="6"/>
        <v>4059.5048410400914</v>
      </c>
      <c r="R43" s="7">
        <f t="shared" si="8"/>
        <v>0.99548597754163914</v>
      </c>
    </row>
    <row r="44" spans="1:18" ht="16.5" thickTop="1" thickBot="1">
      <c r="F44" s="16"/>
      <c r="H44" s="33">
        <f>'V_1,1pu_DIG'!H44</f>
        <v>3985821.5128942803</v>
      </c>
      <c r="I44" s="8">
        <f t="shared" si="10"/>
        <v>385282.48070961545</v>
      </c>
      <c r="J44" s="12">
        <f t="shared" si="9"/>
        <v>594.92694022200226</v>
      </c>
      <c r="K44" s="1">
        <f t="shared" si="11"/>
        <v>-44271107.925674796</v>
      </c>
      <c r="L44" s="1">
        <f t="shared" si="7"/>
        <v>385282.48070961545</v>
      </c>
      <c r="M44" s="14">
        <f t="shared" si="0"/>
        <v>3985.8215128942802</v>
      </c>
      <c r="N44" s="14">
        <f t="shared" si="0"/>
        <v>385.28248070961547</v>
      </c>
      <c r="O44" s="14">
        <f t="shared" si="2"/>
        <v>860.7455245174632</v>
      </c>
      <c r="P44" s="14">
        <f t="shared" si="1"/>
        <v>385.28248070961547</v>
      </c>
      <c r="Q44" s="14">
        <f t="shared" si="6"/>
        <v>4004.3995458236436</v>
      </c>
      <c r="R44" s="7">
        <f t="shared" si="8"/>
        <v>0.99536059458683657</v>
      </c>
    </row>
    <row r="45" spans="1:18" ht="16.5" thickTop="1" thickBot="1">
      <c r="F45" s="16"/>
      <c r="H45" s="33">
        <f>'V_1,1pu_DIG'!H45</f>
        <v>3930462.8807707485</v>
      </c>
      <c r="I45" s="8">
        <f t="shared" si="10"/>
        <v>385282.48070961545</v>
      </c>
      <c r="J45" s="12">
        <f t="shared" si="9"/>
        <v>594.64259968292777</v>
      </c>
      <c r="K45" s="1">
        <f t="shared" si="11"/>
        <v>-44280384.305741042</v>
      </c>
      <c r="L45" s="1">
        <f t="shared" ref="L45:L56" si="12">IF(ABS(I45)&lt;ABS(K45),I45,K45)</f>
        <v>385282.48070961545</v>
      </c>
      <c r="M45" s="14">
        <f t="shared" ref="M45:M56" si="13">H45/1000</f>
        <v>3930.4628807707486</v>
      </c>
      <c r="N45" s="14">
        <f t="shared" ref="N45:N56" si="14">I45/1000</f>
        <v>385.28248070961547</v>
      </c>
      <c r="O45" s="14">
        <f t="shared" ref="O45:O56" si="15">J45*1.43+10</f>
        <v>860.33891754658669</v>
      </c>
      <c r="P45" s="14">
        <f t="shared" ref="P45:P56" si="16">L45/1000</f>
        <v>385.28248070961547</v>
      </c>
      <c r="Q45" s="14">
        <f t="shared" ref="Q45:Q56" si="17">SQRT(M45^2+P45^2)</f>
        <v>3949.3013365731472</v>
      </c>
      <c r="R45" s="7">
        <f t="shared" ref="R45:R56" si="18">M45/SQRT(M45^2+P45^2)</f>
        <v>0.9952299269676026</v>
      </c>
    </row>
    <row r="46" spans="1:18" ht="16.5" thickTop="1" thickBot="1">
      <c r="F46" s="16"/>
      <c r="H46" s="33">
        <f>'V_1,1pu_DIG'!H46</f>
        <v>3875104.2486472167</v>
      </c>
      <c r="I46" s="8">
        <f t="shared" si="10"/>
        <v>385282.48070961545</v>
      </c>
      <c r="J46" s="12">
        <f t="shared" si="9"/>
        <v>594.36210274762448</v>
      </c>
      <c r="K46" s="1">
        <f t="shared" si="11"/>
        <v>-44289527.381378904</v>
      </c>
      <c r="L46" s="1">
        <f t="shared" si="12"/>
        <v>385282.48070961545</v>
      </c>
      <c r="M46" s="14">
        <f t="shared" si="13"/>
        <v>3875.1042486472165</v>
      </c>
      <c r="N46" s="14">
        <f t="shared" si="14"/>
        <v>385.28248070961547</v>
      </c>
      <c r="O46" s="14">
        <f t="shared" si="15"/>
        <v>859.93780692910298</v>
      </c>
      <c r="P46" s="14">
        <f t="shared" si="16"/>
        <v>385.28248070961547</v>
      </c>
      <c r="Q46" s="14">
        <f t="shared" si="17"/>
        <v>3894.2105140612857</v>
      </c>
      <c r="R46" s="7">
        <f t="shared" si="18"/>
        <v>0.99509367422611594</v>
      </c>
    </row>
    <row r="47" spans="1:18" ht="16.5" thickTop="1" thickBot="1">
      <c r="F47" s="16"/>
      <c r="H47" s="33">
        <f>'V_1,1pu_DIG'!H47</f>
        <v>3819745.6165236849</v>
      </c>
      <c r="I47" s="8">
        <f t="shared" si="10"/>
        <v>385282.48070961545</v>
      </c>
      <c r="J47" s="12">
        <f t="shared" si="9"/>
        <v>594.08545486035496</v>
      </c>
      <c r="K47" s="1">
        <f t="shared" si="11"/>
        <v>-44298537.307235219</v>
      </c>
      <c r="L47" s="1">
        <f t="shared" si="12"/>
        <v>385282.48070961545</v>
      </c>
      <c r="M47" s="14">
        <f t="shared" si="13"/>
        <v>3819.7456165236849</v>
      </c>
      <c r="N47" s="14">
        <f t="shared" si="14"/>
        <v>385.28248070961547</v>
      </c>
      <c r="O47" s="14">
        <f t="shared" si="15"/>
        <v>859.54220045030752</v>
      </c>
      <c r="P47" s="14">
        <f t="shared" si="16"/>
        <v>385.28248070961547</v>
      </c>
      <c r="Q47" s="14">
        <f t="shared" si="17"/>
        <v>3839.1273962833875</v>
      </c>
      <c r="R47" s="7">
        <f t="shared" si="18"/>
        <v>0.99495151430023765</v>
      </c>
    </row>
    <row r="48" spans="1:18" ht="16.5" thickTop="1" thickBot="1">
      <c r="F48" s="16"/>
      <c r="H48" s="33">
        <f>'V_1,1pu_DIG'!H48</f>
        <v>3764386.9844001532</v>
      </c>
      <c r="I48" s="8">
        <f t="shared" si="10"/>
        <v>125911.61691695884</v>
      </c>
      <c r="J48" s="12">
        <f t="shared" si="9"/>
        <v>586.72086960991908</v>
      </c>
      <c r="K48" s="1">
        <f t="shared" si="11"/>
        <v>-44307414.235470831</v>
      </c>
      <c r="L48" s="1">
        <f t="shared" si="12"/>
        <v>125911.61691695884</v>
      </c>
      <c r="M48" s="14">
        <f t="shared" si="13"/>
        <v>3764.3869844001533</v>
      </c>
      <c r="N48" s="14">
        <f t="shared" si="14"/>
        <v>125.91161691695883</v>
      </c>
      <c r="O48" s="14">
        <f t="shared" si="15"/>
        <v>849.01084354218426</v>
      </c>
      <c r="P48" s="14">
        <f t="shared" si="16"/>
        <v>125.91161691695883</v>
      </c>
      <c r="Q48" s="14">
        <f t="shared" si="17"/>
        <v>3766.4921483518219</v>
      </c>
      <c r="R48" s="7">
        <f t="shared" si="18"/>
        <v>0.99944108101948659</v>
      </c>
    </row>
    <row r="49" spans="6:18" ht="16.5" thickTop="1" thickBot="1">
      <c r="F49" s="16"/>
      <c r="H49" s="33">
        <f>'V_1,1pu_DIG'!H49</f>
        <v>3709028.3522766214</v>
      </c>
      <c r="I49" s="8">
        <f t="shared" si="10"/>
        <v>-308252.87910558359</v>
      </c>
      <c r="J49" s="12">
        <f t="shared" si="9"/>
        <v>574.5783602141388</v>
      </c>
      <c r="K49" s="1">
        <f t="shared" si="11"/>
        <v>-44316158.315773822</v>
      </c>
      <c r="L49" s="1">
        <f t="shared" si="12"/>
        <v>-308252.87910558359</v>
      </c>
      <c r="M49" s="14">
        <f t="shared" si="13"/>
        <v>3709.0283522766213</v>
      </c>
      <c r="N49" s="14">
        <f t="shared" si="14"/>
        <v>-308.25287910558359</v>
      </c>
      <c r="O49" s="14">
        <f t="shared" si="15"/>
        <v>831.64705510621843</v>
      </c>
      <c r="P49" s="14">
        <f t="shared" si="16"/>
        <v>-308.25287910558359</v>
      </c>
      <c r="Q49" s="14">
        <f t="shared" si="17"/>
        <v>3721.815572468457</v>
      </c>
      <c r="R49" s="7">
        <f t="shared" si="18"/>
        <v>0.99656425205847721</v>
      </c>
    </row>
    <row r="50" spans="6:18" ht="16.5" thickTop="1" thickBot="1">
      <c r="F50" s="16"/>
      <c r="H50" s="33">
        <f>'V_1,1pu_DIG'!H50</f>
        <v>3653669.7201530896</v>
      </c>
      <c r="I50" s="8">
        <f t="shared" si="10"/>
        <v>-557362.8339990899</v>
      </c>
      <c r="J50" s="12">
        <f t="shared" si="9"/>
        <v>567.49408031661198</v>
      </c>
      <c r="K50" s="1">
        <f t="shared" si="11"/>
        <v>-44324769.695372589</v>
      </c>
      <c r="L50" s="1">
        <f t="shared" si="12"/>
        <v>-557362.8339990899</v>
      </c>
      <c r="M50" s="14">
        <f t="shared" si="13"/>
        <v>3653.6697201530897</v>
      </c>
      <c r="N50" s="14">
        <f t="shared" si="14"/>
        <v>-557.36283399908984</v>
      </c>
      <c r="O50" s="14">
        <f t="shared" si="15"/>
        <v>821.51653485275506</v>
      </c>
      <c r="P50" s="14">
        <f t="shared" si="16"/>
        <v>-557.36283399908984</v>
      </c>
      <c r="Q50" s="14">
        <f t="shared" si="17"/>
        <v>3695.9377365814826</v>
      </c>
      <c r="R50" s="7">
        <f t="shared" si="18"/>
        <v>0.98856365571042104</v>
      </c>
    </row>
    <row r="51" spans="6:18" ht="16.5" thickTop="1" thickBot="1">
      <c r="F51" s="16"/>
      <c r="H51" s="33">
        <f>'V_1,1pu_DIG'!H51</f>
        <v>3598311.0880295578</v>
      </c>
      <c r="I51" s="8">
        <f t="shared" si="10"/>
        <v>-750516.76522664097</v>
      </c>
      <c r="J51" s="12">
        <f t="shared" si="9"/>
        <v>561.93963000687575</v>
      </c>
      <c r="K51" s="1">
        <f t="shared" si="11"/>
        <v>-44333248.519048631</v>
      </c>
      <c r="L51" s="1">
        <f t="shared" si="12"/>
        <v>-750516.76522664097</v>
      </c>
      <c r="M51" s="14">
        <f t="shared" si="13"/>
        <v>3598.3110880295581</v>
      </c>
      <c r="N51" s="14">
        <f t="shared" si="14"/>
        <v>-750.51676522664093</v>
      </c>
      <c r="O51" s="14">
        <f t="shared" si="15"/>
        <v>813.57367090983223</v>
      </c>
      <c r="P51" s="14">
        <f t="shared" si="16"/>
        <v>-750.51676522664093</v>
      </c>
      <c r="Q51" s="14">
        <f t="shared" si="17"/>
        <v>3675.7472847194927</v>
      </c>
      <c r="R51" s="7">
        <f t="shared" si="18"/>
        <v>0.97893320985045795</v>
      </c>
    </row>
    <row r="52" spans="6:18" ht="16.5" thickTop="1" thickBot="1">
      <c r="F52" s="16"/>
      <c r="H52" s="33">
        <f>'V_1,1pu_DIG'!H52</f>
        <v>3542952.4559060261</v>
      </c>
      <c r="I52" s="8">
        <f t="shared" si="10"/>
        <v>-912935.72456070292</v>
      </c>
      <c r="J52" s="12">
        <f t="shared" si="9"/>
        <v>557.22616185895299</v>
      </c>
      <c r="K52" s="1">
        <f t="shared" si="11"/>
        <v>-44341594.929149099</v>
      </c>
      <c r="L52" s="1">
        <f t="shared" si="12"/>
        <v>-912935.72456070292</v>
      </c>
      <c r="M52" s="14">
        <f t="shared" si="13"/>
        <v>3542.952455906026</v>
      </c>
      <c r="N52" s="14">
        <f t="shared" si="14"/>
        <v>-912.93572456070297</v>
      </c>
      <c r="O52" s="14">
        <f t="shared" si="15"/>
        <v>806.83341145830275</v>
      </c>
      <c r="P52" s="14">
        <f t="shared" si="16"/>
        <v>-912.93572456070297</v>
      </c>
      <c r="Q52" s="14">
        <f t="shared" si="17"/>
        <v>3658.6833344783636</v>
      </c>
      <c r="R52" s="7">
        <f t="shared" si="18"/>
        <v>0.96836816198829678</v>
      </c>
    </row>
    <row r="53" spans="6:18" ht="16.5" thickTop="1" thickBot="1">
      <c r="F53" s="16"/>
      <c r="H53" s="33">
        <f>'V_1,1pu_DIG'!H53</f>
        <v>3321517.9274118994</v>
      </c>
      <c r="I53" s="8">
        <f t="shared" si="10"/>
        <v>-1405080.9659646032</v>
      </c>
      <c r="J53" s="12">
        <f t="shared" si="9"/>
        <v>542.69399385447764</v>
      </c>
      <c r="K53" s="1">
        <f t="shared" si="11"/>
        <v>-44373659.196219146</v>
      </c>
      <c r="L53" s="1">
        <f t="shared" si="12"/>
        <v>-1405080.9659646032</v>
      </c>
      <c r="M53" s="14">
        <f t="shared" si="13"/>
        <v>3321.5179274118996</v>
      </c>
      <c r="N53" s="14">
        <f t="shared" si="14"/>
        <v>-1405.0809659646031</v>
      </c>
      <c r="O53" s="14">
        <f t="shared" si="15"/>
        <v>786.05241121190295</v>
      </c>
      <c r="P53" s="14">
        <f t="shared" si="16"/>
        <v>-1405.0809659646031</v>
      </c>
      <c r="Q53" s="14">
        <f t="shared" si="17"/>
        <v>3606.4849733548958</v>
      </c>
      <c r="R53" s="7">
        <f t="shared" si="18"/>
        <v>0.92098482371384771</v>
      </c>
    </row>
    <row r="54" spans="6:18" ht="16.5" thickTop="1" thickBot="1">
      <c r="F54" s="16"/>
      <c r="H54" s="33">
        <f>'V_1,1pu_DIG'!H54</f>
        <v>3100083.3989177728</v>
      </c>
      <c r="I54" s="8">
        <f t="shared" si="10"/>
        <v>-1765848.7410107742</v>
      </c>
      <c r="J54" s="12">
        <f t="shared" si="9"/>
        <v>531.78897344300492</v>
      </c>
      <c r="K54" s="1">
        <f t="shared" si="11"/>
        <v>-44403615.609092139</v>
      </c>
      <c r="L54" s="1">
        <f t="shared" si="12"/>
        <v>-1765848.7410107742</v>
      </c>
      <c r="M54" s="14">
        <f t="shared" si="13"/>
        <v>3100.0833989177727</v>
      </c>
      <c r="N54" s="14">
        <f t="shared" si="14"/>
        <v>-1765.8487410107741</v>
      </c>
      <c r="O54" s="14">
        <f t="shared" si="15"/>
        <v>770.45823202349698</v>
      </c>
      <c r="P54" s="14">
        <f t="shared" si="16"/>
        <v>-1765.8487410107741</v>
      </c>
      <c r="Q54" s="14">
        <f t="shared" si="17"/>
        <v>3567.7358165053233</v>
      </c>
      <c r="R54" s="7">
        <f t="shared" si="18"/>
        <v>0.86892179196002617</v>
      </c>
    </row>
    <row r="55" spans="6:18" ht="16.5" thickTop="1" thickBot="1">
      <c r="F55" s="16"/>
      <c r="H55" s="33">
        <f>'V_1,1pu_DIG'!H55</f>
        <v>2878648.8704236462</v>
      </c>
      <c r="I55" s="8">
        <f t="shared" si="10"/>
        <v>-2054238.6391240486</v>
      </c>
      <c r="J55" s="12">
        <f t="shared" si="9"/>
        <v>522.90820513920289</v>
      </c>
      <c r="K55" s="1">
        <f t="shared" si="11"/>
        <v>-44431472.134857975</v>
      </c>
      <c r="L55" s="1">
        <f t="shared" si="12"/>
        <v>-2054238.6391240486</v>
      </c>
      <c r="M55" s="14">
        <f t="shared" si="13"/>
        <v>2878.6488704236463</v>
      </c>
      <c r="N55" s="14">
        <f t="shared" si="14"/>
        <v>-2054.2386391240489</v>
      </c>
      <c r="O55" s="14">
        <f t="shared" si="15"/>
        <v>757.75873334906009</v>
      </c>
      <c r="P55" s="14">
        <f t="shared" si="16"/>
        <v>-2054.2386391240489</v>
      </c>
      <c r="Q55" s="14">
        <f t="shared" si="17"/>
        <v>3536.4552458162902</v>
      </c>
      <c r="R55" s="7">
        <f t="shared" si="18"/>
        <v>0.81399273292915431</v>
      </c>
    </row>
    <row r="56" spans="6:18" ht="16.5" thickTop="1" thickBot="1">
      <c r="F56" s="16"/>
      <c r="H56" s="33">
        <f>'V_1,1pu_DIG'!H56</f>
        <v>2657214.3419295195</v>
      </c>
      <c r="I56" s="8">
        <f t="shared" si="10"/>
        <v>-2293727.5144844856</v>
      </c>
      <c r="J56" s="12">
        <f t="shared" si="9"/>
        <v>515.41702539646428</v>
      </c>
      <c r="K56" s="1">
        <f t="shared" si="11"/>
        <v>-44457236.146137498</v>
      </c>
      <c r="L56" s="1">
        <f t="shared" si="12"/>
        <v>-2293727.5144844856</v>
      </c>
      <c r="M56" s="14">
        <f t="shared" si="13"/>
        <v>2657.2143419295194</v>
      </c>
      <c r="N56" s="14">
        <f t="shared" si="14"/>
        <v>-2293.7275144844857</v>
      </c>
      <c r="O56" s="14">
        <f t="shared" si="15"/>
        <v>747.04634631694387</v>
      </c>
      <c r="P56" s="14">
        <f t="shared" si="16"/>
        <v>-2293.7275144844857</v>
      </c>
      <c r="Q56" s="14">
        <f t="shared" si="17"/>
        <v>3510.2669370945432</v>
      </c>
      <c r="R56" s="7">
        <f t="shared" si="18"/>
        <v>0.75698355411366591</v>
      </c>
    </row>
    <row r="57" spans="6:18" ht="16.5" thickTop="1" thickBot="1">
      <c r="F57" s="16"/>
      <c r="H57" s="33">
        <f>'V_1,1pu_DIG'!H57</f>
        <v>2435779.8134353929</v>
      </c>
      <c r="I57" s="8">
        <f t="shared" si="10"/>
        <v>-2496532.8002836807</v>
      </c>
      <c r="J57" s="12">
        <f t="shared" si="9"/>
        <v>508.98709556796479</v>
      </c>
      <c r="K57" s="1">
        <f t="shared" si="11"/>
        <v>-44480914.431044817</v>
      </c>
      <c r="L57" s="1">
        <f t="shared" ref="L57:L68" si="19">IF(ABS(I57)&lt;ABS(K57),I57,K57)</f>
        <v>-2496532.8002836807</v>
      </c>
      <c r="M57" s="14">
        <f t="shared" ref="M57:M68" si="20">H57/1000</f>
        <v>2435.779813435393</v>
      </c>
      <c r="N57" s="14">
        <f t="shared" ref="N57:N68" si="21">I57/1000</f>
        <v>-2496.5328002836804</v>
      </c>
      <c r="O57" s="14">
        <f t="shared" ref="O57:O68" si="22">J57*1.43+10</f>
        <v>737.85154666218966</v>
      </c>
      <c r="P57" s="14">
        <f t="shared" ref="P57:P68" si="23">L57/1000</f>
        <v>-2496.5328002836804</v>
      </c>
      <c r="Q57" s="14">
        <f t="shared" ref="Q57:Q68" si="24">SQRT(M57^2+P57^2)</f>
        <v>3487.9362555000389</v>
      </c>
      <c r="R57" s="7">
        <f t="shared" ref="R57:R68" si="25">M57/SQRT(M57^2+P57^2)</f>
        <v>0.69834413103005344</v>
      </c>
    </row>
    <row r="58" spans="6:18" ht="16.5" thickTop="1" thickBot="1">
      <c r="F58" s="16"/>
      <c r="H58" s="33">
        <f>'V_1,1pu_DIG'!H58</f>
        <v>2214345.2849412663</v>
      </c>
      <c r="I58" s="8">
        <f t="shared" si="10"/>
        <v>-2669968.3391682245</v>
      </c>
      <c r="J58" s="12">
        <f t="shared" si="9"/>
        <v>503.4231890316471</v>
      </c>
      <c r="K58" s="1">
        <f t="shared" si="11"/>
        <v>-44502513.202292114</v>
      </c>
      <c r="L58" s="1">
        <f t="shared" si="19"/>
        <v>-2669968.3391682245</v>
      </c>
      <c r="M58" s="14">
        <f t="shared" si="20"/>
        <v>2214.3452849412661</v>
      </c>
      <c r="N58" s="14">
        <f t="shared" si="21"/>
        <v>-2669.9683391682247</v>
      </c>
      <c r="O58" s="14">
        <f t="shared" si="22"/>
        <v>729.89516031525534</v>
      </c>
      <c r="P58" s="14">
        <f t="shared" si="23"/>
        <v>-2669.9683391682247</v>
      </c>
      <c r="Q58" s="14">
        <f t="shared" si="24"/>
        <v>3468.7254104501189</v>
      </c>
      <c r="R58" s="7">
        <f t="shared" si="25"/>
        <v>0.6383743372335493</v>
      </c>
    </row>
    <row r="59" spans="6:18" ht="16.5" thickTop="1" thickBot="1">
      <c r="F59" s="16"/>
      <c r="H59" s="33">
        <f>'V_1,1pu_DIG'!H59</f>
        <v>1992910.7564471397</v>
      </c>
      <c r="I59" s="8">
        <f t="shared" si="10"/>
        <v>-2818806.989037307</v>
      </c>
      <c r="J59" s="12">
        <f t="shared" si="9"/>
        <v>498.59886218937157</v>
      </c>
      <c r="K59" s="1">
        <f t="shared" si="11"/>
        <v>-44522038.105465725</v>
      </c>
      <c r="L59" s="1">
        <f t="shared" si="19"/>
        <v>-2818806.989037307</v>
      </c>
      <c r="M59" s="14">
        <f t="shared" si="20"/>
        <v>1992.9107564471396</v>
      </c>
      <c r="N59" s="14">
        <f t="shared" si="21"/>
        <v>-2818.8069890373072</v>
      </c>
      <c r="O59" s="14">
        <f t="shared" si="22"/>
        <v>722.99637293080127</v>
      </c>
      <c r="P59" s="14">
        <f t="shared" si="23"/>
        <v>-2818.8069890373072</v>
      </c>
      <c r="Q59" s="14">
        <f t="shared" si="24"/>
        <v>3452.1538384910195</v>
      </c>
      <c r="R59" s="7">
        <f t="shared" si="25"/>
        <v>0.57729488594235601</v>
      </c>
    </row>
    <row r="60" spans="6:18" ht="16.5" thickTop="1" thickBot="1">
      <c r="F60" s="16"/>
      <c r="H60" s="33">
        <f>'V_1,1pu_DIG'!H60</f>
        <v>1771476.227953013</v>
      </c>
      <c r="I60" s="8">
        <f t="shared" si="10"/>
        <v>-2946346.9385240404</v>
      </c>
      <c r="J60" s="12">
        <f t="shared" si="9"/>
        <v>494.42744364462561</v>
      </c>
      <c r="K60" s="1">
        <f t="shared" si="11"/>
        <v>-44539494.226499654</v>
      </c>
      <c r="L60" s="1">
        <f t="shared" si="19"/>
        <v>-2946346.9385240404</v>
      </c>
      <c r="M60" s="14">
        <f t="shared" si="20"/>
        <v>1771.476227953013</v>
      </c>
      <c r="N60" s="14">
        <f t="shared" si="21"/>
        <v>-2946.3469385240405</v>
      </c>
      <c r="O60" s="14">
        <f t="shared" si="22"/>
        <v>717.03124441181455</v>
      </c>
      <c r="P60" s="14">
        <f t="shared" si="23"/>
        <v>-2946.3469385240405</v>
      </c>
      <c r="Q60" s="14">
        <f t="shared" si="24"/>
        <v>3437.8900954440969</v>
      </c>
      <c r="R60" s="7">
        <f t="shared" si="25"/>
        <v>0.5152800638684113</v>
      </c>
    </row>
    <row r="61" spans="6:18" ht="16.5" thickTop="1" thickBot="1">
      <c r="F61" s="16"/>
      <c r="H61" s="33">
        <f>'V_1,1pu_DIG'!H61</f>
        <v>1550041.6994588864</v>
      </c>
      <c r="I61" s="8">
        <f t="shared" si="10"/>
        <v>-3054957.8224152164</v>
      </c>
      <c r="J61" s="12">
        <f t="shared" si="9"/>
        <v>490.84718560674986</v>
      </c>
      <c r="K61" s="1">
        <f t="shared" si="11"/>
        <v>-44554886.098369926</v>
      </c>
      <c r="L61" s="1">
        <f t="shared" si="19"/>
        <v>-3054957.8224152164</v>
      </c>
      <c r="M61" s="14">
        <f t="shared" si="20"/>
        <v>1550.0416994588863</v>
      </c>
      <c r="N61" s="14">
        <f t="shared" si="21"/>
        <v>-3054.9578224152165</v>
      </c>
      <c r="O61" s="14">
        <f t="shared" si="22"/>
        <v>711.91147541765224</v>
      </c>
      <c r="P61" s="14">
        <f t="shared" si="23"/>
        <v>-3054.9578224152165</v>
      </c>
      <c r="Q61" s="14">
        <f t="shared" si="24"/>
        <v>3425.6965082735092</v>
      </c>
      <c r="R61" s="7">
        <f t="shared" si="25"/>
        <v>0.45247490421738501</v>
      </c>
    </row>
    <row r="62" spans="6:18" ht="16.5" thickTop="1" thickBot="1">
      <c r="F62" s="16"/>
      <c r="H62" s="33">
        <f>'V_1,1pu_DIG'!H62</f>
        <v>1328607.1709647598</v>
      </c>
      <c r="I62" s="8">
        <f t="shared" si="10"/>
        <v>-3146386.47299582</v>
      </c>
      <c r="J62" s="12">
        <f t="shared" si="9"/>
        <v>487.81295426508194</v>
      </c>
      <c r="K62" s="1">
        <f t="shared" si="11"/>
        <v>-44568217.707030624</v>
      </c>
      <c r="L62" s="1">
        <f t="shared" si="19"/>
        <v>-3146386.47299582</v>
      </c>
      <c r="M62" s="14">
        <f t="shared" si="20"/>
        <v>1328.6071709647597</v>
      </c>
      <c r="N62" s="14">
        <f t="shared" si="21"/>
        <v>-3146.38647299582</v>
      </c>
      <c r="O62" s="14">
        <f t="shared" si="22"/>
        <v>707.57252459906715</v>
      </c>
      <c r="P62" s="14">
        <f t="shared" si="23"/>
        <v>-3146.38647299582</v>
      </c>
      <c r="Q62" s="14">
        <f t="shared" si="24"/>
        <v>3415.3981981886182</v>
      </c>
      <c r="R62" s="7">
        <f t="shared" si="25"/>
        <v>0.38900505705876298</v>
      </c>
    </row>
    <row r="63" spans="6:18" ht="16.5" thickTop="1" thickBot="1">
      <c r="F63" s="16"/>
      <c r="H63" s="33">
        <f>'V_1,1pu_DIG'!H63</f>
        <v>1107172.6424706331</v>
      </c>
      <c r="I63" s="8">
        <f t="shared" si="10"/>
        <v>-3221939.6295949914</v>
      </c>
      <c r="J63" s="12">
        <f t="shared" si="9"/>
        <v>485.29126518156642</v>
      </c>
      <c r="K63" s="1">
        <f t="shared" si="11"/>
        <v>-44579492.496609688</v>
      </c>
      <c r="L63" s="1">
        <f t="shared" si="19"/>
        <v>-3221939.6295949914</v>
      </c>
      <c r="M63" s="14">
        <f t="shared" si="20"/>
        <v>1107.172642470633</v>
      </c>
      <c r="N63" s="14">
        <f t="shared" si="21"/>
        <v>-3221.9396295949914</v>
      </c>
      <c r="O63" s="14">
        <f t="shared" si="22"/>
        <v>703.96650920963998</v>
      </c>
      <c r="P63" s="14">
        <f t="shared" si="23"/>
        <v>-3221.9396295949914</v>
      </c>
      <c r="Q63" s="14">
        <f t="shared" si="24"/>
        <v>3406.8645756751343</v>
      </c>
      <c r="R63" s="7">
        <f t="shared" si="25"/>
        <v>0.3249828743930116</v>
      </c>
    </row>
    <row r="64" spans="6:18" ht="16.5" thickTop="1" thickBot="1">
      <c r="F64" s="16"/>
      <c r="H64" s="33">
        <f>'V_1,1pu_DIG'!H64</f>
        <v>885738.1139765064</v>
      </c>
      <c r="I64" s="8">
        <f t="shared" si="10"/>
        <v>-3282598.4615723407</v>
      </c>
      <c r="J64" s="12">
        <f t="shared" si="9"/>
        <v>483.25717136646239</v>
      </c>
      <c r="K64" s="1">
        <f t="shared" si="11"/>
        <v>-44588713.373880647</v>
      </c>
      <c r="L64" s="1">
        <f t="shared" si="19"/>
        <v>-3282598.4615723407</v>
      </c>
      <c r="M64" s="14">
        <f t="shared" si="20"/>
        <v>885.73811397650638</v>
      </c>
      <c r="N64" s="14">
        <f t="shared" si="21"/>
        <v>-3282.5984615723405</v>
      </c>
      <c r="O64" s="14">
        <f t="shared" si="22"/>
        <v>701.05775505404119</v>
      </c>
      <c r="P64" s="14">
        <f t="shared" si="23"/>
        <v>-3282.5984615723405</v>
      </c>
      <c r="Q64" s="14">
        <f t="shared" si="24"/>
        <v>3399.9977450680399</v>
      </c>
      <c r="R64" s="7">
        <f t="shared" si="25"/>
        <v>0.26051138276822039</v>
      </c>
    </row>
    <row r="65" spans="6:18" ht="16.5" thickTop="1" thickBot="1">
      <c r="F65" s="16"/>
      <c r="H65" s="33">
        <f>'V_1,1pu_DIG'!H65</f>
        <v>664303.58548237965</v>
      </c>
      <c r="I65" s="8">
        <f t="shared" si="10"/>
        <v>-3329092.7506881338</v>
      </c>
      <c r="J65" s="12">
        <f t="shared" si="9"/>
        <v>481.69224703356809</v>
      </c>
      <c r="K65" s="1">
        <f t="shared" si="11"/>
        <v>-44595882.712023735</v>
      </c>
      <c r="L65" s="1">
        <f t="shared" si="19"/>
        <v>-3329092.7506881338</v>
      </c>
      <c r="M65" s="14">
        <f t="shared" si="20"/>
        <v>664.30358548237962</v>
      </c>
      <c r="N65" s="14">
        <f t="shared" si="21"/>
        <v>-3329.0927506881339</v>
      </c>
      <c r="O65" s="14">
        <f t="shared" si="22"/>
        <v>698.81991325800232</v>
      </c>
      <c r="P65" s="14">
        <f t="shared" si="23"/>
        <v>-3329.0927506881339</v>
      </c>
      <c r="Q65" s="14">
        <f t="shared" si="24"/>
        <v>3394.7249956909664</v>
      </c>
      <c r="R65" s="7">
        <f t="shared" si="25"/>
        <v>0.19568701038393435</v>
      </c>
    </row>
    <row r="66" spans="6:18" ht="16.5" thickTop="1" thickBot="1">
      <c r="F66" s="16"/>
      <c r="H66" s="33">
        <f>'V_1,1pu_DIG'!H66</f>
        <v>442869.05698825291</v>
      </c>
      <c r="I66" s="8">
        <f t="shared" si="10"/>
        <v>-3361949.7794616381</v>
      </c>
      <c r="J66" s="12">
        <f t="shared" si="9"/>
        <v>480.58325829169735</v>
      </c>
      <c r="K66" s="1">
        <f t="shared" si="11"/>
        <v>-44601002.353687823</v>
      </c>
      <c r="L66" s="1">
        <f t="shared" si="19"/>
        <v>-3361949.7794616381</v>
      </c>
      <c r="M66" s="14">
        <f t="shared" si="20"/>
        <v>442.86905698825291</v>
      </c>
      <c r="N66" s="14">
        <f t="shared" si="21"/>
        <v>-3361.9497794616382</v>
      </c>
      <c r="O66" s="14">
        <f t="shared" si="22"/>
        <v>697.23405935712719</v>
      </c>
      <c r="P66" s="14">
        <f t="shared" si="23"/>
        <v>-3361.9497794616382</v>
      </c>
      <c r="Q66" s="14">
        <f t="shared" si="24"/>
        <v>3390.9938545004502</v>
      </c>
      <c r="R66" s="7">
        <f t="shared" si="25"/>
        <v>0.13060155104689652</v>
      </c>
    </row>
    <row r="67" spans="6:18" ht="16.5" thickTop="1" thickBot="1">
      <c r="F67" s="16"/>
      <c r="H67" s="33">
        <f>'V_1,1pu_DIG'!H67</f>
        <v>221434.52849412619</v>
      </c>
      <c r="I67" s="8">
        <f t="shared" si="10"/>
        <v>-3381526.4290834484</v>
      </c>
      <c r="J67" s="12">
        <f t="shared" si="9"/>
        <v>479.92128994615359</v>
      </c>
      <c r="K67" s="1">
        <f t="shared" si="11"/>
        <v>-44604073.613362424</v>
      </c>
      <c r="L67" s="1">
        <f t="shared" si="19"/>
        <v>-3381526.4290834484</v>
      </c>
      <c r="M67" s="14">
        <f t="shared" si="20"/>
        <v>221.4345284941262</v>
      </c>
      <c r="N67" s="14">
        <f t="shared" si="21"/>
        <v>-3381.5264290834484</v>
      </c>
      <c r="O67" s="14">
        <f t="shared" si="22"/>
        <v>696.2874446229996</v>
      </c>
      <c r="P67" s="14">
        <f t="shared" si="23"/>
        <v>-3381.5264290834484</v>
      </c>
      <c r="Q67" s="14">
        <f t="shared" si="24"/>
        <v>3388.7688385310785</v>
      </c>
      <c r="R67" s="7">
        <f t="shared" si="25"/>
        <v>6.5343651055912944E-2</v>
      </c>
    </row>
    <row r="68" spans="6:18" ht="16.5" thickTop="1" thickBot="1">
      <c r="F68" s="16"/>
      <c r="H68" s="33">
        <f>'V_1,1pu_DIG'!H68</f>
        <v>-5.2386894822120667E-10</v>
      </c>
      <c r="I68" s="8">
        <f t="shared" si="10"/>
        <v>-3388029.4085073131</v>
      </c>
      <c r="J68" s="12">
        <f>SQRT(3)*SQRT(($B$3/SQRT(3)*K_1+SQRT(H68^2+I68^2)/SQRT(3)/$B$3/Nm*I68/SQRT(H68^2+I68^2)*K_2)^2+(SQRT(H68^2+I68^2)/SQRT(3)/$B$3/Nm*H68/SQRT(H68^2+I68^2)*K_2)^2)</f>
        <v>479.70119491160864</v>
      </c>
      <c r="K68" s="1">
        <f t="shared" si="11"/>
        <v>-44605097.279067002</v>
      </c>
      <c r="L68" s="1">
        <f t="shared" si="19"/>
        <v>-3388029.4085073131</v>
      </c>
      <c r="M68" s="14">
        <f t="shared" si="20"/>
        <v>-5.2386894822120663E-13</v>
      </c>
      <c r="N68" s="14">
        <f t="shared" si="21"/>
        <v>-3388.0294085073133</v>
      </c>
      <c r="O68" s="14">
        <f t="shared" si="22"/>
        <v>695.97270872360036</v>
      </c>
      <c r="P68" s="14">
        <f t="shared" si="23"/>
        <v>-3388.0294085073133</v>
      </c>
      <c r="Q68" s="14">
        <f t="shared" si="24"/>
        <v>3388.0294085073133</v>
      </c>
      <c r="R68" s="7">
        <f t="shared" si="25"/>
        <v>-1.5462349497491849E-16</v>
      </c>
    </row>
    <row r="69" spans="6:18" ht="15.75" thickTop="1"/>
  </sheetData>
  <hyperlinks>
    <hyperlink ref="A13" r:id="rId1" display="Vdc@Tmin" xr:uid="{00000000-0004-0000-0600-000000000000}"/>
    <hyperlink ref="A22" r:id="rId2" display="P@PF=1 (W) (kW)" xr:uid="{00000000-0004-0000-0600-000001000000}"/>
    <hyperlink ref="C22" r:id="rId3" display="P@PF=1 (kW)" xr:uid="{00000000-0004-0000-0600-000002000000}"/>
    <hyperlink ref="C23" r:id="rId4" display="P@PF=1 (kW)" xr:uid="{00000000-0004-0000-0600-000003000000}"/>
  </hyperlinks>
  <pageMargins left="0.7" right="0.7" top="0.75" bottom="0.75" header="0.3" footer="0.3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9"/>
  <sheetViews>
    <sheetView workbookViewId="0">
      <selection activeCell="D8" sqref="D8"/>
    </sheetView>
  </sheetViews>
  <sheetFormatPr baseColWidth="10" defaultRowHeight="15"/>
  <cols>
    <col min="1" max="1" width="28.140625" customWidth="1"/>
    <col min="2" max="2" width="14.5703125" bestFit="1" customWidth="1"/>
    <col min="3" max="3" width="17.42578125" bestFit="1" customWidth="1"/>
    <col min="4" max="4" width="10.5703125" bestFit="1" customWidth="1"/>
    <col min="6" max="6" width="21.140625" bestFit="1" customWidth="1"/>
    <col min="8" max="8" width="9.140625" hidden="1" customWidth="1"/>
    <col min="9" max="12" width="11.85546875" hidden="1" customWidth="1"/>
    <col min="13" max="13" width="10.5703125" bestFit="1" customWidth="1"/>
    <col min="14" max="15" width="10.5703125" customWidth="1"/>
    <col min="16" max="16" width="10.7109375" bestFit="1" customWidth="1"/>
    <col min="19" max="19" width="10.85546875" bestFit="1" customWidth="1"/>
  </cols>
  <sheetData>
    <row r="1" spans="1:19" ht="15.75" thickBot="1">
      <c r="A1" s="3" t="s">
        <v>70</v>
      </c>
      <c r="B1">
        <f>Capability!B1</f>
        <v>620</v>
      </c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18</v>
      </c>
      <c r="O1" s="2" t="s">
        <v>19</v>
      </c>
      <c r="P1" s="2" t="s">
        <v>14</v>
      </c>
      <c r="Q1" s="2" t="s">
        <v>13</v>
      </c>
      <c r="R1" s="2" t="s">
        <v>12</v>
      </c>
    </row>
    <row r="2" spans="1:19" ht="16.5" thickTop="1" thickBot="1">
      <c r="A2" s="3" t="s">
        <v>71</v>
      </c>
      <c r="B2" s="28">
        <v>0.96</v>
      </c>
      <c r="F2" t="s">
        <v>20</v>
      </c>
      <c r="G2" s="15">
        <f>Capability!G2</f>
        <v>3750</v>
      </c>
      <c r="H2" s="1">
        <f>G2*1000</f>
        <v>3750000</v>
      </c>
      <c r="I2" s="8">
        <f>Nm*(SQRT(IF(3/K_3^2*Ii^2*B3^2-(H2/Nm)^2&lt;0.0000000001,0,3/K_3^2*Ii^2*B3^2-(H2/Nm)^2))+B3^2/K_3*K_4)</f>
        <v>1289373.9259608844</v>
      </c>
      <c r="J2" s="11">
        <f>SQRT(3)*SQRT((B3/SQRT(3)*K_1+SQRT(H2^2+I2^2)/SQRT(3)/B3/Nm*I2/SQRT(H2^2+I2^2)*K_2)^2+(SQRT(H2^2+I2^2)/SQRT(3)/B3/Nm*H2/SQRT(H2^2+I2^2)*K_2)^2)</f>
        <v>629.43230335837302</v>
      </c>
      <c r="K2" s="1">
        <f>Nm*(SQRT(Vi^2*B3^2/K_2^2-(H2/Nm)^2)-B3^2*K_1/K_2)</f>
        <v>2627734.1368340431</v>
      </c>
      <c r="L2" s="1">
        <f>IF(ABS(I2)&lt;ABS(K2),I2,K2)</f>
        <v>1289373.9259608844</v>
      </c>
      <c r="M2" s="13">
        <f t="shared" ref="M2:N44" si="0">H2/1000</f>
        <v>3750</v>
      </c>
      <c r="N2" s="13">
        <f>I2/1000</f>
        <v>1289.3739259608844</v>
      </c>
      <c r="O2" s="13">
        <f>J2*1.43+10</f>
        <v>910.08819380247337</v>
      </c>
      <c r="P2" s="13">
        <f t="shared" ref="P2:P44" si="1">L2/1000</f>
        <v>1289.3739259608844</v>
      </c>
      <c r="Q2" s="13">
        <f>SQRT(M2^2+P2^2)</f>
        <v>3965.4741357053113</v>
      </c>
      <c r="R2" s="9">
        <f>M2/SQRT(M2^2+P2^2)</f>
        <v>0.9456624533835255</v>
      </c>
      <c r="S2" s="10" t="s">
        <v>15</v>
      </c>
    </row>
    <row r="3" spans="1:19" ht="16.5" thickTop="1" thickBot="1">
      <c r="A3" s="21" t="s">
        <v>67</v>
      </c>
      <c r="B3" s="21">
        <f>$B$1*B2</f>
        <v>595.19999999999993</v>
      </c>
      <c r="F3" t="s">
        <v>21</v>
      </c>
      <c r="G3" s="15">
        <f>Capability!G3</f>
        <v>2846</v>
      </c>
      <c r="H3" s="1">
        <f>G3*1000</f>
        <v>2846000</v>
      </c>
      <c r="I3" s="8">
        <f>Nm*(-SQRT(IF(3/K_3^2*Ii^2*B3^2-(H3/Nm)^2&lt;0.0000000001,0,3/K_3^2*Ii^2*B3^2-(H3/Nm)^2))+B3^2/K_3*K_4)</f>
        <v>-2196316.5670168549</v>
      </c>
      <c r="J3" s="12">
        <f>SQRT(3)*SQRT((B3/SQRT(3)*K_1+SQRT(H3^2+I3^2)/SQRT(3)/B3/Nm*I3/SQRT(H3^2+I3^2)*K_2)^2+(SQRT(H3^2+I3^2)/SQRT(3)/B3/Nm*H3/SQRT(H3^2+I3^2)*K_2)^2)</f>
        <v>531.95340198904387</v>
      </c>
      <c r="K3" s="1">
        <f>Nm*(-SQRT(Vi^2*B3^2/K_2^2-(H3/Nm)^2)-B3^2*K_1/K_2)</f>
        <v>-45836819.606102034</v>
      </c>
      <c r="L3" s="1">
        <f>IF(ABS(I3)&lt;ABS(K3),I3,K3)</f>
        <v>-2196316.5670168549</v>
      </c>
      <c r="M3" s="13">
        <f t="shared" si="0"/>
        <v>2846</v>
      </c>
      <c r="N3" s="13">
        <f t="shared" si="0"/>
        <v>-2196.3165670168551</v>
      </c>
      <c r="O3" s="13">
        <f t="shared" ref="O3:O44" si="2">J3*1.43+10</f>
        <v>770.69336484433268</v>
      </c>
      <c r="P3" s="13">
        <f t="shared" si="1"/>
        <v>-2196.3165670168551</v>
      </c>
      <c r="Q3" s="13">
        <f>SQRT(M3^2+P3^2)</f>
        <v>3594.9301053779482</v>
      </c>
      <c r="R3" s="9">
        <f>M3/SQRT(M3^2+P3^2)</f>
        <v>0.79167046829156351</v>
      </c>
      <c r="S3" s="10" t="s">
        <v>16</v>
      </c>
    </row>
    <row r="4" spans="1:19" ht="16.5" thickTop="1" thickBot="1">
      <c r="A4" s="3" t="s">
        <v>11</v>
      </c>
      <c r="B4" s="6">
        <f>Nm</f>
        <v>3</v>
      </c>
      <c r="F4" s="16"/>
      <c r="H4" s="33">
        <f>'V_1,1pu_DIG'!H4</f>
        <v>0</v>
      </c>
      <c r="I4" s="8">
        <f t="shared" ref="I4:I36" si="3">Nm*(SQRT(IF(3/K_3^2*Ii^2*$B$3^2-(H4/Nm)^2&lt;0.0000000001,0,3/K_3^2*Ii^2*$B$3^2-(H4/Nm)^2))+$B$3^2/K_3*K_4)</f>
        <v>4255447.0156760281</v>
      </c>
      <c r="J4" s="12">
        <f t="shared" ref="J4:J35" si="4">SQRT(3)*SQRT(($B$3/SQRT(3)*K_1+SQRT(H4^2+I4^2)/SQRT(3)/$B$3/Nm*I4/SQRT(H4^2+I4^2)*K_2)^2+(SQRT(H4^2+I4^2)/SQRT(3)/$B$3/Nm*H4/SQRT(H4^2+I4^2)*K_2)^2)</f>
        <v>701.79708126431876</v>
      </c>
      <c r="K4" s="1">
        <f t="shared" ref="K4:K36" si="5">Nm*(SQRT(Vi^2*$B$3^2/K_2^2-(H4/Nm)^2)-$B$3^2*K_1/K_2)</f>
        <v>2916903.3891567914</v>
      </c>
      <c r="L4" s="1">
        <f>IF(ABS(I4)&lt;ABS(K4),I4,K4)</f>
        <v>2916903.3891567914</v>
      </c>
      <c r="M4" s="14">
        <f t="shared" si="0"/>
        <v>0</v>
      </c>
      <c r="N4" s="14">
        <f t="shared" si="0"/>
        <v>4255.4470156760281</v>
      </c>
      <c r="O4" s="14">
        <f t="shared" si="2"/>
        <v>1013.5698262079758</v>
      </c>
      <c r="P4" s="14">
        <f t="shared" si="1"/>
        <v>2916.9033891567915</v>
      </c>
      <c r="Q4" s="14">
        <f t="shared" ref="Q4:Q44" si="6">SQRT(M4^2+P4^2)</f>
        <v>2916.9033891567915</v>
      </c>
      <c r="R4" s="7">
        <f>M4/SQRT(M4^2+P4^2)</f>
        <v>0</v>
      </c>
    </row>
    <row r="5" spans="1:19" ht="16.5" thickTop="1" thickBot="1">
      <c r="A5" s="3" t="s">
        <v>1</v>
      </c>
      <c r="B5" s="6">
        <f>Capability!B5</f>
        <v>50</v>
      </c>
      <c r="C5" s="1" t="s">
        <v>32</v>
      </c>
      <c r="D5" s="1">
        <f>2*PI()*B5</f>
        <v>314.15926535897933</v>
      </c>
      <c r="F5" s="16"/>
      <c r="H5" s="33">
        <f>'V_1,1pu_DIG'!H5</f>
        <v>221434.52849412672</v>
      </c>
      <c r="I5" s="8">
        <f t="shared" si="3"/>
        <v>4249079.7416048199</v>
      </c>
      <c r="J5" s="12">
        <f t="shared" si="4"/>
        <v>701.64972932152637</v>
      </c>
      <c r="K5" s="1">
        <f t="shared" si="5"/>
        <v>2915901.05070432</v>
      </c>
      <c r="L5" s="1">
        <f t="shared" ref="L5:L44" si="7">IF(ABS(I5)&lt;ABS(K5),I5,K5)</f>
        <v>2915901.05070432</v>
      </c>
      <c r="M5" s="14">
        <f t="shared" si="0"/>
        <v>221.43452849412671</v>
      </c>
      <c r="N5" s="14">
        <f t="shared" si="0"/>
        <v>4249.0797416048199</v>
      </c>
      <c r="O5" s="14">
        <f t="shared" si="2"/>
        <v>1013.3591129297827</v>
      </c>
      <c r="P5" s="14">
        <f t="shared" si="1"/>
        <v>2915.9010507043199</v>
      </c>
      <c r="Q5" s="14">
        <f t="shared" si="6"/>
        <v>2924.2968706866909</v>
      </c>
      <c r="R5" s="7">
        <f t="shared" ref="R5:R44" si="8">M5/SQRT(M5^2+P5^2)</f>
        <v>7.5722314896889686E-2</v>
      </c>
    </row>
    <row r="6" spans="1:19" ht="16.5" thickTop="1" thickBot="1">
      <c r="A6" s="3" t="s">
        <v>0</v>
      </c>
      <c r="B6" s="6">
        <f>Capability!B6</f>
        <v>2700</v>
      </c>
      <c r="F6" s="16"/>
      <c r="H6" s="33">
        <f>'V_1,1pu_DIG'!H6</f>
        <v>442869.05698825343</v>
      </c>
      <c r="I6" s="8">
        <f t="shared" si="3"/>
        <v>4229914.3752205074</v>
      </c>
      <c r="J6" s="12">
        <f t="shared" si="4"/>
        <v>701.20601607814012</v>
      </c>
      <c r="K6" s="1">
        <f t="shared" si="5"/>
        <v>2912893.788858762</v>
      </c>
      <c r="L6" s="1">
        <f t="shared" si="7"/>
        <v>2912893.788858762</v>
      </c>
      <c r="M6" s="14">
        <f t="shared" si="0"/>
        <v>442.86905698825342</v>
      </c>
      <c r="N6" s="14">
        <f t="shared" si="0"/>
        <v>4229.9143752205073</v>
      </c>
      <c r="O6" s="14">
        <f t="shared" si="2"/>
        <v>1012.7246029917403</v>
      </c>
      <c r="P6" s="14">
        <f t="shared" si="1"/>
        <v>2912.893788858762</v>
      </c>
      <c r="Q6" s="14">
        <f t="shared" si="6"/>
        <v>2946.3678023643993</v>
      </c>
      <c r="R6" s="7">
        <f t="shared" si="8"/>
        <v>0.15031017398196525</v>
      </c>
    </row>
    <row r="7" spans="1:19" ht="16.5" thickTop="1" thickBot="1">
      <c r="A7" s="3" t="s">
        <v>43</v>
      </c>
      <c r="B7" s="6">
        <f>Capability!B7</f>
        <v>33</v>
      </c>
      <c r="C7" s="1" t="s">
        <v>40</v>
      </c>
      <c r="D7" s="1">
        <f>B7+aux!C6</f>
        <v>44.25</v>
      </c>
      <c r="F7" s="16"/>
      <c r="H7" s="33">
        <f>'V_1,1pu_DIG'!H7</f>
        <v>664303.58548238012</v>
      </c>
      <c r="I7" s="8">
        <f t="shared" si="3"/>
        <v>4197757.0703750988</v>
      </c>
      <c r="J7" s="12">
        <f t="shared" si="4"/>
        <v>700.46088426623032</v>
      </c>
      <c r="K7" s="1">
        <f t="shared" si="5"/>
        <v>2907880.863852513</v>
      </c>
      <c r="L7" s="1">
        <f t="shared" si="7"/>
        <v>2907880.863852513</v>
      </c>
      <c r="M7" s="14">
        <f t="shared" si="0"/>
        <v>664.30358548238007</v>
      </c>
      <c r="N7" s="14">
        <f t="shared" si="0"/>
        <v>4197.7570703750989</v>
      </c>
      <c r="O7" s="14">
        <f t="shared" si="2"/>
        <v>1011.6590645007093</v>
      </c>
      <c r="P7" s="14">
        <f t="shared" si="1"/>
        <v>2907.8808638525129</v>
      </c>
      <c r="Q7" s="14">
        <f t="shared" si="6"/>
        <v>2982.7957308612977</v>
      </c>
      <c r="R7" s="7">
        <f t="shared" si="8"/>
        <v>0.22271172598552666</v>
      </c>
    </row>
    <row r="8" spans="1:19" ht="16.5" thickTop="1" thickBot="1">
      <c r="A8" s="3" t="s">
        <v>41</v>
      </c>
      <c r="B8" s="6">
        <f>Capability!B8</f>
        <v>951.5</v>
      </c>
      <c r="C8" s="1" t="s">
        <v>33</v>
      </c>
      <c r="D8" s="1">
        <f>IF(B8&gt;1250,1250,IF(B8&lt;B3*1.43,B3*1.43,B8))</f>
        <v>951.5</v>
      </c>
      <c r="F8" s="16"/>
      <c r="H8" s="33">
        <f>'V_1,1pu_DIG'!H8</f>
        <v>885738.11397650687</v>
      </c>
      <c r="I8" s="8">
        <f t="shared" si="3"/>
        <v>4152273.6509621395</v>
      </c>
      <c r="J8" s="12">
        <f t="shared" si="4"/>
        <v>699.40561140796854</v>
      </c>
      <c r="K8" s="1">
        <f t="shared" si="5"/>
        <v>2900861.0417281212</v>
      </c>
      <c r="L8" s="1">
        <f t="shared" si="7"/>
        <v>2900861.0417281212</v>
      </c>
      <c r="M8" s="14">
        <f t="shared" si="0"/>
        <v>885.73811397650684</v>
      </c>
      <c r="N8" s="14">
        <f t="shared" si="0"/>
        <v>4152.2736509621391</v>
      </c>
      <c r="O8" s="14">
        <f t="shared" si="2"/>
        <v>1010.150024313395</v>
      </c>
      <c r="P8" s="14">
        <f t="shared" si="1"/>
        <v>2900.8610417281211</v>
      </c>
      <c r="Q8" s="14">
        <f t="shared" si="6"/>
        <v>3033.0721702535566</v>
      </c>
      <c r="R8" s="7">
        <f t="shared" si="8"/>
        <v>0.29202671887047832</v>
      </c>
    </row>
    <row r="9" spans="1:19" ht="16.5" thickTop="1" thickBot="1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H9" s="33">
        <f>'V_1,1pu_DIG'!H9</f>
        <v>1107172.6424706336</v>
      </c>
      <c r="I9" s="8">
        <f t="shared" si="3"/>
        <v>4092971.5210668985</v>
      </c>
      <c r="J9" s="12">
        <f t="shared" si="4"/>
        <v>698.02733096074815</v>
      </c>
      <c r="K9" s="1">
        <f t="shared" si="5"/>
        <v>2891832.5928180674</v>
      </c>
      <c r="L9" s="1">
        <f t="shared" si="7"/>
        <v>2891832.5928180674</v>
      </c>
      <c r="M9" s="14">
        <f t="shared" si="0"/>
        <v>1107.1726424706337</v>
      </c>
      <c r="N9" s="14">
        <f t="shared" si="0"/>
        <v>4092.9715210668983</v>
      </c>
      <c r="O9" s="14">
        <f t="shared" si="2"/>
        <v>1008.1790832738698</v>
      </c>
      <c r="P9" s="14">
        <f t="shared" si="1"/>
        <v>2891.8325928180675</v>
      </c>
      <c r="Q9" s="14">
        <f t="shared" si="6"/>
        <v>3096.5346768799914</v>
      </c>
      <c r="R9" s="7">
        <f t="shared" si="8"/>
        <v>0.35755215361779819</v>
      </c>
    </row>
    <row r="10" spans="1:19" ht="16.5" thickTop="1" thickBot="1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1.1492499999999999</v>
      </c>
      <c r="F10" s="16"/>
      <c r="H10" s="33">
        <f>'V_1,1pu_DIG'!H10</f>
        <v>1328607.1709647602</v>
      </c>
      <c r="I10" s="8">
        <f t="shared" si="3"/>
        <v>4019171.1150117028</v>
      </c>
      <c r="J10" s="12">
        <f t="shared" si="4"/>
        <v>696.30827619174283</v>
      </c>
      <c r="K10" s="1">
        <f t="shared" si="5"/>
        <v>2880793.2896103384</v>
      </c>
      <c r="L10" s="1">
        <f t="shared" si="7"/>
        <v>2880793.2896103384</v>
      </c>
      <c r="M10" s="14">
        <f t="shared" si="0"/>
        <v>1328.6071709647601</v>
      </c>
      <c r="N10" s="14">
        <f t="shared" si="0"/>
        <v>4019.1711150117026</v>
      </c>
      <c r="O10" s="14">
        <f t="shared" si="2"/>
        <v>1005.7208349541922</v>
      </c>
      <c r="P10" s="14">
        <f t="shared" si="1"/>
        <v>2880.7932896103384</v>
      </c>
      <c r="Q10" s="14">
        <f t="shared" si="6"/>
        <v>3172.4071290114921</v>
      </c>
      <c r="R10" s="7">
        <f t="shared" si="8"/>
        <v>0.41880096624885227</v>
      </c>
    </row>
    <row r="11" spans="1:19" ht="16.5" thickTop="1" thickBot="1">
      <c r="A11" s="21" t="s">
        <v>49</v>
      </c>
      <c r="B11" s="20">
        <f>B9*B10</f>
        <v>1.2004372301587298</v>
      </c>
      <c r="F11" s="16"/>
      <c r="H11" s="33">
        <f>'V_1,1pu_DIG'!H11</f>
        <v>1550041.6994588869</v>
      </c>
      <c r="I11" s="8">
        <f t="shared" si="3"/>
        <v>3929962.7328541698</v>
      </c>
      <c r="J11" s="12">
        <f t="shared" si="4"/>
        <v>694.22463626447973</v>
      </c>
      <c r="K11" s="1">
        <f t="shared" si="5"/>
        <v>2867740.4039936252</v>
      </c>
      <c r="L11" s="1">
        <f t="shared" si="7"/>
        <v>2867740.4039936252</v>
      </c>
      <c r="M11" s="14">
        <f t="shared" si="0"/>
        <v>1550.0416994588868</v>
      </c>
      <c r="N11" s="14">
        <f t="shared" si="0"/>
        <v>3929.9627328541696</v>
      </c>
      <c r="O11" s="14">
        <f t="shared" si="2"/>
        <v>1002.741229858206</v>
      </c>
      <c r="P11" s="14">
        <f t="shared" si="1"/>
        <v>2867.740403993625</v>
      </c>
      <c r="Q11" s="14">
        <f t="shared" si="6"/>
        <v>3259.8411456325466</v>
      </c>
      <c r="R11" s="7">
        <f t="shared" si="8"/>
        <v>0.47549608407624211</v>
      </c>
    </row>
    <row r="12" spans="1:19" ht="16.5" thickTop="1" thickBot="1">
      <c r="A12" s="3" t="s">
        <v>44</v>
      </c>
      <c r="B12" s="6">
        <f>Capability!B12</f>
        <v>-5</v>
      </c>
      <c r="C12" s="1" t="s">
        <v>39</v>
      </c>
      <c r="D12" s="1">
        <f>B12+aux!C6</f>
        <v>6.25</v>
      </c>
      <c r="F12" s="16"/>
      <c r="H12" s="33">
        <f>'V_1,1pu_DIG'!H12</f>
        <v>1771476.2279530135</v>
      </c>
      <c r="I12" s="8">
        <f t="shared" si="3"/>
        <v>3824141.6735095172</v>
      </c>
      <c r="J12" s="12">
        <f t="shared" si="4"/>
        <v>691.7448358936764</v>
      </c>
      <c r="K12" s="1">
        <f t="shared" si="5"/>
        <v>2852670.703874208</v>
      </c>
      <c r="L12" s="1">
        <f t="shared" si="7"/>
        <v>2852670.703874208</v>
      </c>
      <c r="M12" s="14">
        <f t="shared" si="0"/>
        <v>1771.4762279530134</v>
      </c>
      <c r="N12" s="14">
        <f t="shared" si="0"/>
        <v>3824.1416735095172</v>
      </c>
      <c r="O12" s="14">
        <f t="shared" si="2"/>
        <v>999.19511532795718</v>
      </c>
      <c r="P12" s="14">
        <f t="shared" si="1"/>
        <v>2852.6707038742079</v>
      </c>
      <c r="Q12" s="14">
        <f t="shared" si="6"/>
        <v>3357.954462309578</v>
      </c>
      <c r="R12" s="7">
        <f t="shared" si="8"/>
        <v>0.5275462332311095</v>
      </c>
    </row>
    <row r="13" spans="1:19" ht="16.5" thickTop="1" thickBot="1">
      <c r="A13" s="3" t="s">
        <v>42</v>
      </c>
      <c r="B13" s="19">
        <f>Capability!B13</f>
        <v>1130</v>
      </c>
      <c r="C13" s="1" t="s">
        <v>48</v>
      </c>
      <c r="D13" s="1">
        <f>IF(B13&gt;1250,1250,IF(B13&lt;B3*1.43,B3*1.43,B13))</f>
        <v>1130</v>
      </c>
      <c r="F13" s="16"/>
      <c r="H13" s="33">
        <f>'V_1,1pu_DIG'!H13</f>
        <v>1992910.7564471401</v>
      </c>
      <c r="I13" s="8">
        <f t="shared" si="3"/>
        <v>3700109.3244901234</v>
      </c>
      <c r="J13" s="12">
        <f t="shared" si="4"/>
        <v>688.82690993275992</v>
      </c>
      <c r="K13" s="1">
        <f t="shared" si="5"/>
        <v>2835580.4491546685</v>
      </c>
      <c r="L13" s="1">
        <f t="shared" si="7"/>
        <v>2835580.4491546685</v>
      </c>
      <c r="M13" s="14">
        <f t="shared" si="0"/>
        <v>1992.9107564471401</v>
      </c>
      <c r="N13" s="14">
        <f t="shared" si="0"/>
        <v>3700.1093244901235</v>
      </c>
      <c r="O13" s="14">
        <f t="shared" si="2"/>
        <v>995.02248120384661</v>
      </c>
      <c r="P13" s="14">
        <f t="shared" si="1"/>
        <v>2835.5804491546687</v>
      </c>
      <c r="Q13" s="14">
        <f t="shared" si="6"/>
        <v>3465.8634951179056</v>
      </c>
      <c r="R13" s="7">
        <f t="shared" si="8"/>
        <v>0.57501132380268283</v>
      </c>
    </row>
    <row r="14" spans="1:19" ht="16.5" thickTop="1" thickBot="1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H14" s="33">
        <f>'V_1,1pu_DIG'!H14</f>
        <v>2214345.2849412668</v>
      </c>
      <c r="I14" s="8">
        <f t="shared" si="3"/>
        <v>3555717.826436094</v>
      </c>
      <c r="J14" s="12">
        <f t="shared" si="4"/>
        <v>685.41437653438277</v>
      </c>
      <c r="K14" s="1">
        <f t="shared" si="5"/>
        <v>2816465.3870627023</v>
      </c>
      <c r="L14" s="1">
        <f t="shared" si="7"/>
        <v>2816465.3870627023</v>
      </c>
      <c r="M14" s="14">
        <f t="shared" si="0"/>
        <v>2214.345284941267</v>
      </c>
      <c r="N14" s="14">
        <f t="shared" si="0"/>
        <v>3555.7178264360941</v>
      </c>
      <c r="O14" s="14">
        <f t="shared" si="2"/>
        <v>990.14255844416732</v>
      </c>
      <c r="P14" s="14">
        <f t="shared" si="1"/>
        <v>2816.4653870627021</v>
      </c>
      <c r="Q14" s="14">
        <f t="shared" si="6"/>
        <v>3582.7087960737026</v>
      </c>
      <c r="R14" s="7">
        <f t="shared" si="8"/>
        <v>0.61806454584530346</v>
      </c>
    </row>
    <row r="15" spans="1:19" ht="16.5" thickTop="1" thickBot="1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H15" s="33">
        <f>'V_1,1pu_DIG'!H15</f>
        <v>2435779.8134353934</v>
      </c>
      <c r="I15" s="8">
        <f t="shared" si="3"/>
        <v>3388015.3290657653</v>
      </c>
      <c r="J15" s="12">
        <f t="shared" si="4"/>
        <v>681.42946292499778</v>
      </c>
      <c r="K15" s="1">
        <f t="shared" si="5"/>
        <v>2795320.7468163483</v>
      </c>
      <c r="L15" s="1">
        <f t="shared" si="7"/>
        <v>2795320.7468163483</v>
      </c>
      <c r="M15" s="14">
        <f t="shared" si="0"/>
        <v>2435.7798134353934</v>
      </c>
      <c r="N15" s="14">
        <f t="shared" si="0"/>
        <v>3388.0153290657654</v>
      </c>
      <c r="O15" s="14">
        <f t="shared" si="2"/>
        <v>984.44413198274674</v>
      </c>
      <c r="P15" s="14">
        <f t="shared" si="1"/>
        <v>2795.3207468163482</v>
      </c>
      <c r="Q15" s="14">
        <f t="shared" si="6"/>
        <v>3707.6733104632162</v>
      </c>
      <c r="R15" s="7">
        <f t="shared" si="8"/>
        <v>0.65695642778491736</v>
      </c>
    </row>
    <row r="16" spans="1:19" ht="16.5" thickTop="1" thickBot="1">
      <c r="A16" s="21" t="s">
        <v>50</v>
      </c>
      <c r="B16" s="20">
        <f>B14*B15</f>
        <v>1.1831619047619049</v>
      </c>
      <c r="F16" s="16"/>
      <c r="H16" s="33">
        <f>'V_1,1pu_DIG'!H16</f>
        <v>2657214.34192952</v>
      </c>
      <c r="I16" s="8">
        <f t="shared" si="3"/>
        <v>3192802.8611803902</v>
      </c>
      <c r="J16" s="12">
        <f t="shared" si="4"/>
        <v>676.76131019777222</v>
      </c>
      <c r="K16" s="1">
        <f t="shared" si="5"/>
        <v>2772141.2336098691</v>
      </c>
      <c r="L16" s="1">
        <f t="shared" si="7"/>
        <v>2772141.2336098691</v>
      </c>
      <c r="M16" s="14">
        <f t="shared" si="0"/>
        <v>2657.2143419295198</v>
      </c>
      <c r="N16" s="14">
        <f t="shared" si="0"/>
        <v>3192.8028611803902</v>
      </c>
      <c r="O16" s="14">
        <f t="shared" si="2"/>
        <v>977.76867358281424</v>
      </c>
      <c r="P16" s="14">
        <f t="shared" si="1"/>
        <v>2772.1412336098692</v>
      </c>
      <c r="Q16" s="14">
        <f t="shared" si="6"/>
        <v>3839.9941507814797</v>
      </c>
      <c r="R16" s="7">
        <f t="shared" si="8"/>
        <v>0.69198395559762726</v>
      </c>
    </row>
    <row r="17" spans="1:18" ht="16.5" thickTop="1" thickBot="1">
      <c r="A17" s="21"/>
      <c r="B17" s="20"/>
      <c r="F17" s="16"/>
      <c r="H17" s="33">
        <f>'V_1,1pu_DIG'!H17</f>
        <v>2878648.8704236466</v>
      </c>
      <c r="I17" s="8">
        <f t="shared" si="3"/>
        <v>2963799.5985044106</v>
      </c>
      <c r="J17" s="12">
        <f t="shared" si="4"/>
        <v>671.24373280917928</v>
      </c>
      <c r="K17" s="1">
        <f t="shared" si="5"/>
        <v>2746921.0219024289</v>
      </c>
      <c r="L17" s="1">
        <f t="shared" si="7"/>
        <v>2746921.0219024289</v>
      </c>
      <c r="M17" s="14">
        <f t="shared" si="0"/>
        <v>2878.6488704236467</v>
      </c>
      <c r="N17" s="14">
        <f t="shared" si="0"/>
        <v>2963.7995985044104</v>
      </c>
      <c r="O17" s="14">
        <f t="shared" si="2"/>
        <v>969.87853791712632</v>
      </c>
      <c r="P17" s="14">
        <f t="shared" si="1"/>
        <v>2746.9210219024289</v>
      </c>
      <c r="Q17" s="14">
        <f t="shared" si="6"/>
        <v>3978.9690146771468</v>
      </c>
      <c r="R17" s="7">
        <f t="shared" si="8"/>
        <v>0.72346601840960056</v>
      </c>
    </row>
    <row r="18" spans="1:18" ht="20.25" thickTop="1" thickBot="1">
      <c r="A18" s="23" t="s">
        <v>53</v>
      </c>
      <c r="B18" s="24">
        <f>MIN(B16,B11)</f>
        <v>1.1831619047619049</v>
      </c>
      <c r="F18" s="16"/>
      <c r="H18" s="33">
        <f>'V_1,1pu_DIG'!H18</f>
        <v>3100083.3989177733</v>
      </c>
      <c r="I18" s="8">
        <f t="shared" si="3"/>
        <v>2690886.2491678977</v>
      </c>
      <c r="J18" s="12">
        <f t="shared" si="4"/>
        <v>664.60836989382256</v>
      </c>
      <c r="K18" s="1">
        <f t="shared" si="5"/>
        <v>2719653.7479894608</v>
      </c>
      <c r="L18" s="1">
        <f t="shared" si="7"/>
        <v>2690886.2491678977</v>
      </c>
      <c r="M18" s="14">
        <f t="shared" si="0"/>
        <v>3100.0833989177731</v>
      </c>
      <c r="N18" s="14">
        <f t="shared" si="0"/>
        <v>2690.8862491678979</v>
      </c>
      <c r="O18" s="14">
        <f t="shared" si="2"/>
        <v>960.38996894816626</v>
      </c>
      <c r="P18" s="14">
        <f t="shared" si="1"/>
        <v>2690.8862491678979</v>
      </c>
      <c r="Q18" s="14">
        <f t="shared" si="6"/>
        <v>4105.0439566716523</v>
      </c>
      <c r="R18" s="7">
        <f t="shared" si="8"/>
        <v>0.75518884368568473</v>
      </c>
    </row>
    <row r="19" spans="1:18" ht="16.5" thickTop="1" thickBot="1">
      <c r="A19" s="21"/>
      <c r="B19" s="20"/>
      <c r="F19" s="16"/>
      <c r="H19" s="33">
        <f>'V_1,1pu_DIG'!H19</f>
        <v>3321517.9274118999</v>
      </c>
      <c r="I19" s="8">
        <f t="shared" si="3"/>
        <v>2355749.0296617774</v>
      </c>
      <c r="J19" s="12">
        <f t="shared" si="4"/>
        <v>656.36839738194533</v>
      </c>
      <c r="K19" s="1">
        <f t="shared" si="5"/>
        <v>2690332.5018343236</v>
      </c>
      <c r="L19" s="1">
        <f t="shared" si="7"/>
        <v>2355749.0296617774</v>
      </c>
      <c r="M19" s="14">
        <f t="shared" si="0"/>
        <v>3321.5179274119</v>
      </c>
      <c r="N19" s="14">
        <f t="shared" si="0"/>
        <v>2355.7490296617775</v>
      </c>
      <c r="O19" s="14">
        <f t="shared" si="2"/>
        <v>948.60680825618181</v>
      </c>
      <c r="P19" s="14">
        <f t="shared" si="1"/>
        <v>2355.7490296617775</v>
      </c>
      <c r="Q19" s="14">
        <f t="shared" si="6"/>
        <v>4072.1044722441798</v>
      </c>
      <c r="R19" s="7">
        <f t="shared" si="8"/>
        <v>0.81567600980074473</v>
      </c>
    </row>
    <row r="20" spans="1:18" ht="16.5" thickTop="1" thickBot="1">
      <c r="A20" s="21" t="s">
        <v>36</v>
      </c>
      <c r="B20" s="4">
        <f>(D8-10)/1.43</f>
        <v>658.39160839160843</v>
      </c>
      <c r="F20" s="16"/>
      <c r="H20" s="33">
        <f>'V_1,1pu_DIG'!H20</f>
        <v>3542952.4559060265</v>
      </c>
      <c r="I20" s="8">
        <f t="shared" si="3"/>
        <v>1917662.9816285223</v>
      </c>
      <c r="J20" s="12">
        <f t="shared" si="4"/>
        <v>645.43862563829089</v>
      </c>
      <c r="K20" s="1">
        <f t="shared" si="5"/>
        <v>2658949.8181353221</v>
      </c>
      <c r="L20" s="1">
        <f t="shared" si="7"/>
        <v>1917662.9816285223</v>
      </c>
      <c r="M20" s="14">
        <f t="shared" si="0"/>
        <v>3542.9524559060264</v>
      </c>
      <c r="N20" s="14">
        <f t="shared" si="0"/>
        <v>1917.6629816285222</v>
      </c>
      <c r="O20" s="14">
        <f t="shared" si="2"/>
        <v>932.9772346627559</v>
      </c>
      <c r="P20" s="14">
        <f t="shared" si="1"/>
        <v>1917.6629816285222</v>
      </c>
      <c r="Q20" s="14">
        <f t="shared" si="6"/>
        <v>4028.6403929761386</v>
      </c>
      <c r="R20" s="7">
        <f t="shared" si="8"/>
        <v>0.87944122838144101</v>
      </c>
    </row>
    <row r="21" spans="1:18" ht="16.5" thickTop="1" thickBot="1">
      <c r="A21" s="21" t="s">
        <v>34</v>
      </c>
      <c r="B21" s="5">
        <f>IF(B25=1,(IF(B9*B10&gt;B18,B18,B9*B10))*Ii_r,B26)</f>
        <v>1242.3200000000002</v>
      </c>
      <c r="F21" s="16"/>
      <c r="H21" s="33">
        <f>'V_1,1pu_DIG'!H21</f>
        <v>3598311.0880295583</v>
      </c>
      <c r="I21" s="8">
        <f t="shared" si="3"/>
        <v>1781109.9089269964</v>
      </c>
      <c r="J21" s="12">
        <f t="shared" si="4"/>
        <v>641.99373582168346</v>
      </c>
      <c r="K21" s="1">
        <f t="shared" si="5"/>
        <v>2650781.1191059928</v>
      </c>
      <c r="L21" s="1">
        <f t="shared" si="7"/>
        <v>1781109.9089269964</v>
      </c>
      <c r="M21" s="14">
        <f t="shared" si="0"/>
        <v>3598.3110880295585</v>
      </c>
      <c r="N21" s="14">
        <f t="shared" si="0"/>
        <v>1781.1099089269965</v>
      </c>
      <c r="O21" s="14">
        <f t="shared" si="2"/>
        <v>928.05104222500734</v>
      </c>
      <c r="P21" s="14">
        <f t="shared" si="1"/>
        <v>1781.1099089269965</v>
      </c>
      <c r="Q21" s="14">
        <f t="shared" si="6"/>
        <v>4014.9962881569891</v>
      </c>
      <c r="R21" s="7">
        <f t="shared" si="8"/>
        <v>0.89621778696121723</v>
      </c>
    </row>
    <row r="22" spans="1:18" ht="20.25" thickTop="1" thickBot="1">
      <c r="A22" s="21" t="s">
        <v>59</v>
      </c>
      <c r="B22" s="1">
        <f>Nm*SQRT(3)*B3*Ii/K_3^2</f>
        <v>3865039.0428065746</v>
      </c>
      <c r="C22" s="25" t="s">
        <v>74</v>
      </c>
      <c r="D22" s="26">
        <f>B22/1000</f>
        <v>3865.0390428065748</v>
      </c>
      <c r="F22" s="16"/>
      <c r="H22" s="33">
        <f>'V_1,1pu_DIG'!H22</f>
        <v>3653669.7201530901</v>
      </c>
      <c r="I22" s="8">
        <f t="shared" si="3"/>
        <v>1626961.249843288</v>
      </c>
      <c r="J22" s="12">
        <f t="shared" si="4"/>
        <v>638.08260664408442</v>
      </c>
      <c r="K22" s="1">
        <f t="shared" si="5"/>
        <v>2642482.9500932638</v>
      </c>
      <c r="L22" s="1">
        <f t="shared" si="7"/>
        <v>1626961.249843288</v>
      </c>
      <c r="M22" s="14">
        <f t="shared" si="0"/>
        <v>3653.6697201530901</v>
      </c>
      <c r="N22" s="14">
        <f t="shared" si="0"/>
        <v>1626.961249843288</v>
      </c>
      <c r="O22" s="14">
        <f t="shared" si="2"/>
        <v>922.45812750104074</v>
      </c>
      <c r="P22" s="14">
        <f t="shared" si="1"/>
        <v>1626.961249843288</v>
      </c>
      <c r="Q22" s="14">
        <f t="shared" si="6"/>
        <v>3999.5381398925542</v>
      </c>
      <c r="R22" s="7">
        <f t="shared" si="8"/>
        <v>0.91352290998561259</v>
      </c>
    </row>
    <row r="23" spans="1:18" ht="20.25" thickTop="1" thickBot="1">
      <c r="A23" s="21" t="s">
        <v>51</v>
      </c>
      <c r="B23" s="1">
        <f>B3*Ii*SQRT(3)*Nm</f>
        <v>3842185.0830928129</v>
      </c>
      <c r="C23" s="25" t="s">
        <v>52</v>
      </c>
      <c r="D23" s="26">
        <f>B23/1000</f>
        <v>3842.1850830928129</v>
      </c>
      <c r="F23" s="16"/>
      <c r="H23" s="33">
        <f>'V_1,1pu_DIG'!H23</f>
        <v>3709028.3522766219</v>
      </c>
      <c r="I23" s="8">
        <f t="shared" si="3"/>
        <v>1447463.6955156261</v>
      </c>
      <c r="J23" s="12">
        <f t="shared" si="4"/>
        <v>633.49788514476336</v>
      </c>
      <c r="K23" s="1">
        <f t="shared" si="5"/>
        <v>2634055.1777852811</v>
      </c>
      <c r="L23" s="1">
        <f t="shared" si="7"/>
        <v>1447463.6955156261</v>
      </c>
      <c r="M23" s="14">
        <f t="shared" si="0"/>
        <v>3709.0283522766217</v>
      </c>
      <c r="N23" s="14">
        <f t="shared" si="0"/>
        <v>1447.4636955156261</v>
      </c>
      <c r="O23" s="14">
        <f t="shared" si="2"/>
        <v>915.90197575701154</v>
      </c>
      <c r="P23" s="14">
        <f t="shared" si="1"/>
        <v>1447.4636955156261</v>
      </c>
      <c r="Q23" s="14">
        <f t="shared" si="6"/>
        <v>3981.4623529336031</v>
      </c>
      <c r="R23" s="7">
        <f t="shared" si="8"/>
        <v>0.93157438737145215</v>
      </c>
    </row>
    <row r="24" spans="1:18" ht="16.5" thickTop="1" thickBot="1">
      <c r="A24" s="27"/>
      <c r="F24" s="16"/>
      <c r="H24" s="33">
        <f>'V_1,1pu_DIG'!H24</f>
        <v>3764386.9844001536</v>
      </c>
      <c r="I24" s="8">
        <f t="shared" si="3"/>
        <v>1226221.9497377011</v>
      </c>
      <c r="J24" s="12">
        <f t="shared" si="4"/>
        <v>627.80086979013799</v>
      </c>
      <c r="K24" s="1">
        <f t="shared" si="5"/>
        <v>2625497.6666006902</v>
      </c>
      <c r="L24" s="1">
        <f t="shared" si="7"/>
        <v>1226221.9497377011</v>
      </c>
      <c r="M24" s="14">
        <f t="shared" si="0"/>
        <v>3764.3869844001538</v>
      </c>
      <c r="N24" s="14">
        <f t="shared" si="0"/>
        <v>1226.2219497377012</v>
      </c>
      <c r="O24" s="14">
        <f t="shared" si="2"/>
        <v>907.75524379989724</v>
      </c>
      <c r="P24" s="14">
        <f t="shared" si="1"/>
        <v>1226.2219497377012</v>
      </c>
      <c r="Q24" s="14">
        <f t="shared" si="6"/>
        <v>3959.0692894087888</v>
      </c>
      <c r="R24" s="7">
        <f t="shared" si="8"/>
        <v>0.95082624455968867</v>
      </c>
    </row>
    <row r="25" spans="1:18" ht="16.5" thickTop="1" thickBot="1">
      <c r="A25" s="3" t="s">
        <v>38</v>
      </c>
      <c r="B25" s="6">
        <f>Capability!B25</f>
        <v>1</v>
      </c>
      <c r="F25" s="16"/>
      <c r="H25" s="33">
        <f>'V_1,1pu_DIG'!H25</f>
        <v>3819745.6165236854</v>
      </c>
      <c r="I25" s="8">
        <f t="shared" si="3"/>
        <v>911497.63535314158</v>
      </c>
      <c r="J25" s="12">
        <f t="shared" si="4"/>
        <v>619.60641050097252</v>
      </c>
      <c r="K25" s="1">
        <f t="shared" si="5"/>
        <v>2616810.2786773928</v>
      </c>
      <c r="L25" s="1">
        <f t="shared" si="7"/>
        <v>911497.63535314158</v>
      </c>
      <c r="M25" s="14">
        <f t="shared" si="0"/>
        <v>3819.7456165236854</v>
      </c>
      <c r="N25" s="14">
        <f t="shared" si="0"/>
        <v>911.49763535314162</v>
      </c>
      <c r="O25" s="14">
        <f t="shared" si="2"/>
        <v>896.03716701639064</v>
      </c>
      <c r="P25" s="14">
        <f t="shared" si="1"/>
        <v>911.49763535314162</v>
      </c>
      <c r="Q25" s="14">
        <f t="shared" si="6"/>
        <v>3926.9943359019858</v>
      </c>
      <c r="R25" s="7">
        <f t="shared" si="8"/>
        <v>0.9726893623457018</v>
      </c>
    </row>
    <row r="26" spans="1:18" ht="16.5" thickTop="1" thickBot="1">
      <c r="A26" s="3" t="s">
        <v>25</v>
      </c>
      <c r="B26" s="6">
        <f>Capability!B26</f>
        <v>1250</v>
      </c>
      <c r="F26" s="16"/>
      <c r="H26" s="33">
        <f>'V_1,1pu_DIG'!H26</f>
        <v>3875104.2486472172</v>
      </c>
      <c r="I26" s="8">
        <f t="shared" si="3"/>
        <v>401851.89477363235</v>
      </c>
      <c r="J26" s="12">
        <f t="shared" si="4"/>
        <v>606.20335137544589</v>
      </c>
      <c r="K26" s="1">
        <f t="shared" si="5"/>
        <v>2607992.8738611052</v>
      </c>
      <c r="L26" s="1">
        <f t="shared" si="7"/>
        <v>401851.89477363235</v>
      </c>
      <c r="M26" s="14">
        <f t="shared" si="0"/>
        <v>3875.104248647217</v>
      </c>
      <c r="N26" s="14">
        <f t="shared" si="0"/>
        <v>401.85189477363235</v>
      </c>
      <c r="O26" s="14">
        <f t="shared" si="2"/>
        <v>876.87079246688756</v>
      </c>
      <c r="P26" s="14">
        <f t="shared" si="1"/>
        <v>401.85189477363235</v>
      </c>
      <c r="Q26" s="14">
        <f t="shared" si="6"/>
        <v>3895.8847369008326</v>
      </c>
      <c r="R26" s="7">
        <f t="shared" si="8"/>
        <v>0.9946660413084637</v>
      </c>
    </row>
    <row r="27" spans="1:18" ht="16.5" thickTop="1" thickBot="1">
      <c r="A27" s="27"/>
      <c r="F27" s="16"/>
      <c r="H27" s="33">
        <f>'V_1,1pu_DIG'!H27</f>
        <v>3930462.8807707489</v>
      </c>
      <c r="I27" s="8">
        <f t="shared" si="3"/>
        <v>401851.89477363235</v>
      </c>
      <c r="J27" s="12">
        <f t="shared" si="4"/>
        <v>606.46703439414966</v>
      </c>
      <c r="K27" s="1">
        <f t="shared" si="5"/>
        <v>2599045.3096936774</v>
      </c>
      <c r="L27" s="1">
        <f t="shared" si="7"/>
        <v>401851.89477363235</v>
      </c>
      <c r="M27" s="14">
        <f t="shared" si="0"/>
        <v>3930.4628807707491</v>
      </c>
      <c r="N27" s="14">
        <f t="shared" si="0"/>
        <v>401.85189477363235</v>
      </c>
      <c r="O27" s="14">
        <f t="shared" si="2"/>
        <v>877.24785918363398</v>
      </c>
      <c r="P27" s="14">
        <f t="shared" si="1"/>
        <v>401.85189477363235</v>
      </c>
      <c r="Q27" s="14">
        <f t="shared" si="6"/>
        <v>3950.9522146502677</v>
      </c>
      <c r="R27" s="7">
        <f t="shared" si="8"/>
        <v>0.99481407702083979</v>
      </c>
    </row>
    <row r="28" spans="1:18" ht="16.5" thickTop="1" thickBot="1">
      <c r="A28" s="27" t="s">
        <v>73</v>
      </c>
      <c r="F28" s="16"/>
      <c r="H28" s="33">
        <f>'V_1,1pu_DIG'!H28</f>
        <v>3985821.5128942807</v>
      </c>
      <c r="I28" s="8">
        <f t="shared" si="3"/>
        <v>401851.89477363235</v>
      </c>
      <c r="J28" s="12">
        <f t="shared" si="4"/>
        <v>606.73434055278631</v>
      </c>
      <c r="K28" s="1">
        <f t="shared" si="5"/>
        <v>2589967.4414012125</v>
      </c>
      <c r="L28" s="1">
        <f t="shared" si="7"/>
        <v>401851.89477363235</v>
      </c>
      <c r="M28" s="14">
        <f t="shared" si="0"/>
        <v>3985.8215128942807</v>
      </c>
      <c r="N28" s="14">
        <f t="shared" si="0"/>
        <v>401.85189477363235</v>
      </c>
      <c r="O28" s="14">
        <f t="shared" si="2"/>
        <v>877.63010699048436</v>
      </c>
      <c r="P28" s="14">
        <f t="shared" si="1"/>
        <v>401.85189477363235</v>
      </c>
      <c r="Q28" s="14">
        <f t="shared" si="6"/>
        <v>4006.0277180748526</v>
      </c>
      <c r="R28" s="7">
        <f t="shared" si="8"/>
        <v>0.99495604958263184</v>
      </c>
    </row>
    <row r="29" spans="1:18" ht="16.5" thickTop="1" thickBot="1">
      <c r="A29" s="3" t="s">
        <v>54</v>
      </c>
      <c r="B29" s="6">
        <f>Capability!B29</f>
        <v>2846</v>
      </c>
      <c r="C29" s="2">
        <f>IF(B29&gt;D23,D23,B29)</f>
        <v>2846</v>
      </c>
      <c r="F29" s="16"/>
      <c r="H29" s="33">
        <f>'V_1,1pu_DIG'!H29</f>
        <v>4041180.1450178125</v>
      </c>
      <c r="I29" s="8">
        <f t="shared" si="3"/>
        <v>401851.89477363235</v>
      </c>
      <c r="J29" s="12">
        <f t="shared" si="4"/>
        <v>607.0052650648031</v>
      </c>
      <c r="K29" s="1">
        <f t="shared" si="5"/>
        <v>2580759.1218819609</v>
      </c>
      <c r="L29" s="1">
        <f t="shared" si="7"/>
        <v>401851.89477363235</v>
      </c>
      <c r="M29" s="14">
        <f t="shared" si="0"/>
        <v>4041.1801450178127</v>
      </c>
      <c r="N29" s="14">
        <f t="shared" si="0"/>
        <v>401.85189477363235</v>
      </c>
      <c r="O29" s="14">
        <f t="shared" si="2"/>
        <v>878.01752904266834</v>
      </c>
      <c r="P29" s="14">
        <f t="shared" si="1"/>
        <v>401.85189477363235</v>
      </c>
      <c r="Q29" s="14">
        <f t="shared" si="6"/>
        <v>4061.1109206495885</v>
      </c>
      <c r="R29" s="7">
        <f t="shared" si="8"/>
        <v>0.99509228483998469</v>
      </c>
    </row>
    <row r="30" spans="1:18" ht="16.5" thickTop="1" thickBot="1">
      <c r="A30" s="27"/>
      <c r="B30" s="1" t="s">
        <v>69</v>
      </c>
      <c r="C30" s="1">
        <f xml:space="preserve"> Nm/1000*(-SQRT(3/K_3^2*Ii^2*B3^2-($C$29*1000/Nm)^2)+B3^2*K_4/K_3)</f>
        <v>-2196.3165670168551</v>
      </c>
      <c r="F30" s="16"/>
      <c r="H30" s="33">
        <f>'V_1,1pu_DIG'!H30</f>
        <v>4096538.7771413443</v>
      </c>
      <c r="I30" s="8">
        <f t="shared" si="3"/>
        <v>401851.89477363235</v>
      </c>
      <c r="J30" s="12">
        <f t="shared" si="4"/>
        <v>607.27980308745384</v>
      </c>
      <c r="K30" s="1">
        <f t="shared" si="5"/>
        <v>2571420.2016939763</v>
      </c>
      <c r="L30" s="1">
        <f t="shared" si="7"/>
        <v>401851.89477363235</v>
      </c>
      <c r="M30" s="14">
        <f t="shared" si="0"/>
        <v>4096.5387771413443</v>
      </c>
      <c r="N30" s="14">
        <f t="shared" si="0"/>
        <v>401.85189477363235</v>
      </c>
      <c r="O30" s="14">
        <f t="shared" si="2"/>
        <v>878.41011841505895</v>
      </c>
      <c r="P30" s="14">
        <f t="shared" si="1"/>
        <v>401.85189477363235</v>
      </c>
      <c r="Q30" s="14">
        <f t="shared" si="6"/>
        <v>4116.2015132833158</v>
      </c>
      <c r="R30" s="7">
        <f t="shared" si="8"/>
        <v>0.99522308709169893</v>
      </c>
    </row>
    <row r="31" spans="1:18" ht="16.5" thickTop="1" thickBot="1">
      <c r="A31" s="27"/>
      <c r="B31" s="1" t="s">
        <v>68</v>
      </c>
      <c r="C31" s="1">
        <f>IF(ABS( Nm/1000*(SQRT(3/K_3^2*Ii^2*B3^2-($C$29*1000/Nm)^2)+B3^2*K_4/K_3))&lt;ABS(Nm/1000*(SQRT(Vi^2*B3^2/K_2^2-($C$29*1000/Nm)^2)-B3^2*K_1/K_2)),Nm/1000*(SQRT(3/K_3^2*Ii^2*B3^2-($C$29*1000/Nm)^2)+B3^2*K_4/K_3), Nm/1000*(SQRT(Vi^2*B3^2/K_2^2-($C$29*1000/Nm)^2)-B3^2*K_1/K_2))</f>
        <v>2750.7680562553901</v>
      </c>
      <c r="F31" s="16"/>
      <c r="H31" s="33">
        <f>'V_1,1pu_DIG'!H31</f>
        <v>4151897.409264876</v>
      </c>
      <c r="I31" s="8">
        <f t="shared" si="3"/>
        <v>401851.89477363235</v>
      </c>
      <c r="J31" s="12">
        <f t="shared" si="4"/>
        <v>607.55794972221281</v>
      </c>
      <c r="K31" s="1">
        <f t="shared" si="5"/>
        <v>2561950.5290425569</v>
      </c>
      <c r="L31" s="1">
        <f t="shared" si="7"/>
        <v>401851.89477363235</v>
      </c>
      <c r="M31" s="14">
        <f t="shared" si="0"/>
        <v>4151.8974092648759</v>
      </c>
      <c r="N31" s="14">
        <f t="shared" si="0"/>
        <v>401.85189477363235</v>
      </c>
      <c r="O31" s="14">
        <f t="shared" si="2"/>
        <v>878.80786810276425</v>
      </c>
      <c r="P31" s="14">
        <f t="shared" si="1"/>
        <v>401.85189477363235</v>
      </c>
      <c r="Q31" s="14">
        <f t="shared" si="6"/>
        <v>4171.299203173221</v>
      </c>
      <c r="R31" s="7">
        <f t="shared" si="8"/>
        <v>0.99534874077275837</v>
      </c>
    </row>
    <row r="32" spans="1:18" ht="16.5" thickTop="1" thickBot="1">
      <c r="A32" s="3" t="s">
        <v>55</v>
      </c>
      <c r="B32" s="6">
        <f>Capability!B32</f>
        <v>0</v>
      </c>
      <c r="C32" s="2">
        <f>IF(B32&lt;C30,C30,IF(B32&gt;C31,C31,B32))</f>
        <v>0</v>
      </c>
      <c r="F32" s="16"/>
      <c r="H32" s="33">
        <f>'V_1,1pu_DIG'!H32</f>
        <v>4207256.0413884073</v>
      </c>
      <c r="I32" s="8">
        <f t="shared" si="3"/>
        <v>401851.89477363235</v>
      </c>
      <c r="J32" s="12">
        <f t="shared" si="4"/>
        <v>607.83970001519208</v>
      </c>
      <c r="K32" s="1">
        <f t="shared" si="5"/>
        <v>2552349.9497674545</v>
      </c>
      <c r="L32" s="1">
        <f t="shared" si="7"/>
        <v>401851.89477363235</v>
      </c>
      <c r="M32" s="14">
        <f t="shared" si="0"/>
        <v>4207.2560413884075</v>
      </c>
      <c r="N32" s="14">
        <f t="shared" si="0"/>
        <v>401.85189477363235</v>
      </c>
      <c r="O32" s="14">
        <f t="shared" si="2"/>
        <v>879.21077102172467</v>
      </c>
      <c r="P32" s="14">
        <f t="shared" si="1"/>
        <v>401.85189477363235</v>
      </c>
      <c r="Q32" s="14">
        <f t="shared" si="6"/>
        <v>4226.4037127482761</v>
      </c>
      <c r="R32" s="7">
        <f t="shared" si="8"/>
        <v>0.99546951198672462</v>
      </c>
    </row>
    <row r="33" spans="1:18" ht="16.5" thickTop="1" thickBot="1">
      <c r="A33" s="21" t="s">
        <v>56</v>
      </c>
      <c r="B33" s="1">
        <f>C29/SQRT(C29^2+C32^2)</f>
        <v>1</v>
      </c>
      <c r="C33" s="1" t="s">
        <v>60</v>
      </c>
      <c r="D33" s="1">
        <f>SQRT(C29^2+C32^2)/(SQRT(3)*B3)*1000</f>
        <v>2760.649976669481</v>
      </c>
      <c r="F33" s="16"/>
      <c r="H33" s="33">
        <f>'V_1,1pu_DIG'!H33</f>
        <v>4262614.6735119391</v>
      </c>
      <c r="I33" s="8">
        <f t="shared" si="3"/>
        <v>401851.89477363235</v>
      </c>
      <c r="J33" s="12">
        <f t="shared" si="4"/>
        <v>608.12504895756092</v>
      </c>
      <c r="K33" s="1">
        <f t="shared" si="5"/>
        <v>2542618.3073298577</v>
      </c>
      <c r="L33" s="1">
        <f t="shared" si="7"/>
        <v>401851.89477363235</v>
      </c>
      <c r="M33" s="14">
        <f t="shared" si="0"/>
        <v>4262.6146735119391</v>
      </c>
      <c r="N33" s="14">
        <f t="shared" si="0"/>
        <v>401.85189477363235</v>
      </c>
      <c r="O33" s="14">
        <f t="shared" si="2"/>
        <v>879.61882000931212</v>
      </c>
      <c r="P33" s="14">
        <f t="shared" si="1"/>
        <v>401.85189477363235</v>
      </c>
      <c r="Q33" s="14">
        <f t="shared" si="6"/>
        <v>4281.5147786936868</v>
      </c>
      <c r="R33" s="7">
        <f t="shared" si="8"/>
        <v>0.99558564990227261</v>
      </c>
    </row>
    <row r="34" spans="1:18" ht="20.25" thickTop="1" thickBot="1">
      <c r="A34" s="23" t="s">
        <v>57</v>
      </c>
      <c r="B34" s="25">
        <f>Vdc_offset+Vac_to_Vdc*SQRT(3)*SQRT(K_1^2*B3^2/3+K_2^2/3*($C$29^2+$C$32^2)*1000^2/B3^2/Nm^2+2/3*K_1*K_2*$C$32*1000/Nm)</f>
        <v>855.31263313912325</v>
      </c>
      <c r="F34" s="16"/>
      <c r="H34" s="33">
        <f>'V_1,1pu_DIG'!H34</f>
        <v>4317973.3056354709</v>
      </c>
      <c r="I34" s="8">
        <f t="shared" si="3"/>
        <v>401851.89477363235</v>
      </c>
      <c r="J34" s="12">
        <f t="shared" si="4"/>
        <v>608.41399148597054</v>
      </c>
      <c r="K34" s="1">
        <f t="shared" si="5"/>
        <v>2532755.4427991118</v>
      </c>
      <c r="L34" s="1">
        <f t="shared" si="7"/>
        <v>401851.89477363235</v>
      </c>
      <c r="M34" s="14">
        <f t="shared" si="0"/>
        <v>4317.9733056354708</v>
      </c>
      <c r="N34" s="14">
        <f t="shared" si="0"/>
        <v>401.85189477363235</v>
      </c>
      <c r="O34" s="14">
        <f t="shared" si="2"/>
        <v>880.03200782493786</v>
      </c>
      <c r="P34" s="14">
        <f t="shared" si="1"/>
        <v>401.85189477363235</v>
      </c>
      <c r="Q34" s="14">
        <f t="shared" si="6"/>
        <v>4336.6321510492071</v>
      </c>
      <c r="R34" s="7">
        <f t="shared" si="8"/>
        <v>0.99569738802743002</v>
      </c>
    </row>
    <row r="35" spans="1:18" ht="16.5" thickTop="1" thickBot="1">
      <c r="A35" s="21" t="s">
        <v>58</v>
      </c>
      <c r="B35" s="1">
        <f>SQRT(3)*SQRT(K_1^2*B3^2/3+K_2^2/3*($C$29^2+$C$32^2)*1000^2/B3^2/Nm^2+2/3*K_1*K_2*$C$32*1000/Nm)</f>
        <v>591.12771548190426</v>
      </c>
      <c r="F35" s="16"/>
      <c r="H35" s="33">
        <f>'V_1,1pu_DIG'!H35</f>
        <v>4373331.9377590027</v>
      </c>
      <c r="I35" s="8">
        <f t="shared" si="3"/>
        <v>401851.89477363235</v>
      </c>
      <c r="J35" s="12">
        <f t="shared" si="4"/>
        <v>608.70652248298029</v>
      </c>
      <c r="K35" s="1">
        <f t="shared" si="5"/>
        <v>2522761.1948392494</v>
      </c>
      <c r="L35" s="1">
        <f t="shared" si="7"/>
        <v>401851.89477363235</v>
      </c>
      <c r="M35" s="14">
        <f t="shared" si="0"/>
        <v>4373.3319377590024</v>
      </c>
      <c r="N35" s="14">
        <f t="shared" si="0"/>
        <v>401.85189477363235</v>
      </c>
      <c r="O35" s="14">
        <f t="shared" si="2"/>
        <v>880.45032715066179</v>
      </c>
      <c r="P35" s="14">
        <f t="shared" si="1"/>
        <v>401.85189477363235</v>
      </c>
      <c r="Q35" s="14">
        <f t="shared" si="6"/>
        <v>4391.7555923748841</v>
      </c>
      <c r="R35" s="7">
        <f t="shared" si="8"/>
        <v>0.99580494537358377</v>
      </c>
    </row>
    <row r="36" spans="1:18" ht="16.5" thickTop="1" thickBot="1">
      <c r="F36" s="16"/>
      <c r="H36" s="33">
        <f>'V_1,1pu_DIG'!H36</f>
        <v>4428690.5698825344</v>
      </c>
      <c r="I36" s="8">
        <f t="shared" si="3"/>
        <v>401851.89477363235</v>
      </c>
      <c r="J36" s="12">
        <f t="shared" ref="J36:J67" si="9">SQRT(3)*SQRT(($B$3/SQRT(3)*K_1+SQRT(H36^2+I36^2)/SQRT(3)/$B$3/Nm*I36/SQRT(H36^2+I36^2)*K_2)^2+(SQRT(H36^2+I36^2)/SQRT(3)/$B$3/Nm*H36/SQRT(H36^2+I36^2)*K_2)^2)</f>
        <v>609.00263677748762</v>
      </c>
      <c r="K36" s="1">
        <f t="shared" si="5"/>
        <v>2512635.3996952297</v>
      </c>
      <c r="L36" s="1">
        <f t="shared" si="7"/>
        <v>401851.89477363235</v>
      </c>
      <c r="M36" s="14">
        <f t="shared" si="0"/>
        <v>4428.6905698825349</v>
      </c>
      <c r="N36" s="14">
        <f t="shared" si="0"/>
        <v>401.85189477363235</v>
      </c>
      <c r="O36" s="14">
        <f t="shared" si="2"/>
        <v>880.87377059180722</v>
      </c>
      <c r="P36" s="14">
        <f t="shared" si="1"/>
        <v>401.85189477363235</v>
      </c>
      <c r="Q36" s="14">
        <f t="shared" si="6"/>
        <v>4446.8848769784508</v>
      </c>
      <c r="R36" s="7">
        <f t="shared" si="8"/>
        <v>0.99590852751999315</v>
      </c>
    </row>
    <row r="37" spans="1:18" ht="16.5" thickTop="1" thickBot="1">
      <c r="F37" s="16"/>
      <c r="H37" s="33">
        <f>'V_1,1pu_DIG'!H37</f>
        <v>4373331.9377590027</v>
      </c>
      <c r="I37" s="8">
        <f t="shared" ref="I37:I68" si="10">Nm*(-SQRT(IF(3/K_3^2*Ii^2*$B$3^2-(H37/Nm)^2&lt;0.0000000001,0,3/K_3^2*Ii^2*$B$3^2-(H37/Nm)^2))+$B$3^2/K_3*K_4)</f>
        <v>401851.89477363235</v>
      </c>
      <c r="J37" s="12">
        <f t="shared" si="9"/>
        <v>608.70652248298029</v>
      </c>
      <c r="K37" s="1">
        <f t="shared" ref="K37:K68" si="11">Nm*(-SQRT(Vi^2*$B$3^2/K_2^2-(H37/Nm)^2)-$B$3^2*K_1/K_2)</f>
        <v>-45608812.744685903</v>
      </c>
      <c r="L37" s="1">
        <f t="shared" si="7"/>
        <v>401851.89477363235</v>
      </c>
      <c r="M37" s="14">
        <f t="shared" si="0"/>
        <v>4373.3319377590024</v>
      </c>
      <c r="N37" s="14">
        <f t="shared" si="0"/>
        <v>401.85189477363235</v>
      </c>
      <c r="O37" s="14">
        <f t="shared" si="2"/>
        <v>880.45032715066179</v>
      </c>
      <c r="P37" s="14">
        <f t="shared" si="1"/>
        <v>401.85189477363235</v>
      </c>
      <c r="Q37" s="14">
        <f t="shared" si="6"/>
        <v>4391.7555923748841</v>
      </c>
      <c r="R37" s="7">
        <f t="shared" si="8"/>
        <v>0.99580494537358377</v>
      </c>
    </row>
    <row r="38" spans="1:18" ht="16.5" thickTop="1" thickBot="1">
      <c r="F38" s="16"/>
      <c r="H38" s="33">
        <f>'V_1,1pu_DIG'!H38</f>
        <v>4317973.3056354709</v>
      </c>
      <c r="I38" s="8">
        <f t="shared" si="10"/>
        <v>401851.89477363235</v>
      </c>
      <c r="J38" s="12">
        <f t="shared" si="9"/>
        <v>608.41399148597054</v>
      </c>
      <c r="K38" s="1">
        <f t="shared" si="11"/>
        <v>-45618806.992645763</v>
      </c>
      <c r="L38" s="1">
        <f t="shared" si="7"/>
        <v>401851.89477363235</v>
      </c>
      <c r="M38" s="14">
        <f t="shared" si="0"/>
        <v>4317.9733056354708</v>
      </c>
      <c r="N38" s="14">
        <f t="shared" si="0"/>
        <v>401.85189477363235</v>
      </c>
      <c r="O38" s="14">
        <f t="shared" si="2"/>
        <v>880.03200782493786</v>
      </c>
      <c r="P38" s="14">
        <f t="shared" si="1"/>
        <v>401.85189477363235</v>
      </c>
      <c r="Q38" s="14">
        <f t="shared" si="6"/>
        <v>4336.6321510492071</v>
      </c>
      <c r="R38" s="7">
        <f t="shared" si="8"/>
        <v>0.99569738802743002</v>
      </c>
    </row>
    <row r="39" spans="1:18" ht="16.5" thickTop="1" thickBot="1">
      <c r="F39" s="16"/>
      <c r="H39" s="33">
        <f>'V_1,1pu_DIG'!H39</f>
        <v>4262614.6735119391</v>
      </c>
      <c r="I39" s="8">
        <f t="shared" si="10"/>
        <v>401851.89477363235</v>
      </c>
      <c r="J39" s="12">
        <f t="shared" si="9"/>
        <v>608.12504895756092</v>
      </c>
      <c r="K39" s="1">
        <f t="shared" si="11"/>
        <v>-45628669.857176512</v>
      </c>
      <c r="L39" s="1">
        <f t="shared" si="7"/>
        <v>401851.89477363235</v>
      </c>
      <c r="M39" s="14">
        <f t="shared" si="0"/>
        <v>4262.6146735119391</v>
      </c>
      <c r="N39" s="14">
        <f t="shared" si="0"/>
        <v>401.85189477363235</v>
      </c>
      <c r="O39" s="14">
        <f t="shared" si="2"/>
        <v>879.61882000931212</v>
      </c>
      <c r="P39" s="14">
        <f t="shared" si="1"/>
        <v>401.85189477363235</v>
      </c>
      <c r="Q39" s="14">
        <f t="shared" si="6"/>
        <v>4281.5147786936868</v>
      </c>
      <c r="R39" s="7">
        <f t="shared" si="8"/>
        <v>0.99558564990227261</v>
      </c>
    </row>
    <row r="40" spans="1:18" ht="16.5" thickTop="1" thickBot="1">
      <c r="F40" s="16"/>
      <c r="H40" s="33">
        <f>'V_1,1pu_DIG'!H40</f>
        <v>4207256.0413884073</v>
      </c>
      <c r="I40" s="8">
        <f t="shared" si="10"/>
        <v>401851.89477363235</v>
      </c>
      <c r="J40" s="12">
        <f t="shared" si="9"/>
        <v>607.83970001519208</v>
      </c>
      <c r="K40" s="1">
        <f t="shared" si="11"/>
        <v>-45638401.499614105</v>
      </c>
      <c r="L40" s="1">
        <f t="shared" si="7"/>
        <v>401851.89477363235</v>
      </c>
      <c r="M40" s="14">
        <f t="shared" si="0"/>
        <v>4207.2560413884075</v>
      </c>
      <c r="N40" s="14">
        <f t="shared" si="0"/>
        <v>401.85189477363235</v>
      </c>
      <c r="O40" s="14">
        <f t="shared" si="2"/>
        <v>879.21077102172467</v>
      </c>
      <c r="P40" s="14">
        <f t="shared" si="1"/>
        <v>401.85189477363235</v>
      </c>
      <c r="Q40" s="14">
        <f t="shared" si="6"/>
        <v>4226.4037127482761</v>
      </c>
      <c r="R40" s="7">
        <f t="shared" si="8"/>
        <v>0.99546951198672462</v>
      </c>
    </row>
    <row r="41" spans="1:18" ht="16.5" thickTop="1" thickBot="1">
      <c r="F41" s="16"/>
      <c r="H41" s="33">
        <f>'V_1,1pu_DIG'!H41</f>
        <v>4151897.4092648756</v>
      </c>
      <c r="I41" s="8">
        <f t="shared" si="10"/>
        <v>401851.89477363235</v>
      </c>
      <c r="J41" s="12">
        <f t="shared" si="9"/>
        <v>607.55794972221281</v>
      </c>
      <c r="K41" s="1">
        <f t="shared" si="11"/>
        <v>-45648002.078889206</v>
      </c>
      <c r="L41" s="1">
        <f t="shared" si="7"/>
        <v>401851.89477363235</v>
      </c>
      <c r="M41" s="14">
        <f t="shared" si="0"/>
        <v>4151.8974092648759</v>
      </c>
      <c r="N41" s="14">
        <f t="shared" si="0"/>
        <v>401.85189477363235</v>
      </c>
      <c r="O41" s="14">
        <f t="shared" si="2"/>
        <v>878.80786810276425</v>
      </c>
      <c r="P41" s="14">
        <f t="shared" si="1"/>
        <v>401.85189477363235</v>
      </c>
      <c r="Q41" s="14">
        <f t="shared" si="6"/>
        <v>4171.299203173221</v>
      </c>
      <c r="R41" s="7">
        <f t="shared" si="8"/>
        <v>0.99534874077275837</v>
      </c>
    </row>
    <row r="42" spans="1:18" ht="16.5" thickTop="1" thickBot="1">
      <c r="F42" s="16"/>
      <c r="H42" s="33">
        <f>'V_1,1pu_DIG'!H42</f>
        <v>4096538.7771413438</v>
      </c>
      <c r="I42" s="8">
        <f t="shared" si="10"/>
        <v>401851.89477363235</v>
      </c>
      <c r="J42" s="12">
        <f t="shared" si="9"/>
        <v>607.27980308745384</v>
      </c>
      <c r="K42" s="1">
        <f t="shared" si="11"/>
        <v>-45657471.751540631</v>
      </c>
      <c r="L42" s="1">
        <f t="shared" si="7"/>
        <v>401851.89477363235</v>
      </c>
      <c r="M42" s="14">
        <f t="shared" si="0"/>
        <v>4096.5387771413434</v>
      </c>
      <c r="N42" s="14">
        <f t="shared" si="0"/>
        <v>401.85189477363235</v>
      </c>
      <c r="O42" s="14">
        <f t="shared" si="2"/>
        <v>878.41011841505895</v>
      </c>
      <c r="P42" s="14">
        <f t="shared" si="1"/>
        <v>401.85189477363235</v>
      </c>
      <c r="Q42" s="14">
        <f t="shared" si="6"/>
        <v>4116.2015132833149</v>
      </c>
      <c r="R42" s="7">
        <f t="shared" si="8"/>
        <v>0.99522308709169893</v>
      </c>
    </row>
    <row r="43" spans="1:18" ht="16.5" thickTop="1" thickBot="1">
      <c r="F43" s="16"/>
      <c r="H43" s="33">
        <f>'V_1,1pu_DIG'!H43</f>
        <v>4041180.145017812</v>
      </c>
      <c r="I43" s="8">
        <f t="shared" si="10"/>
        <v>401851.89477363235</v>
      </c>
      <c r="J43" s="12">
        <f t="shared" si="9"/>
        <v>607.0052650648031</v>
      </c>
      <c r="K43" s="1">
        <f t="shared" si="11"/>
        <v>-45666810.671728611</v>
      </c>
      <c r="L43" s="1">
        <f t="shared" si="7"/>
        <v>401851.89477363235</v>
      </c>
      <c r="M43" s="14">
        <f t="shared" si="0"/>
        <v>4041.1801450178118</v>
      </c>
      <c r="N43" s="14">
        <f t="shared" si="0"/>
        <v>401.85189477363235</v>
      </c>
      <c r="O43" s="14">
        <f t="shared" si="2"/>
        <v>878.01752904266834</v>
      </c>
      <c r="P43" s="14">
        <f t="shared" si="1"/>
        <v>401.85189477363235</v>
      </c>
      <c r="Q43" s="14">
        <f t="shared" si="6"/>
        <v>4061.1109206495876</v>
      </c>
      <c r="R43" s="7">
        <f t="shared" si="8"/>
        <v>0.99509228483998469</v>
      </c>
    </row>
    <row r="44" spans="1:18" ht="16.5" thickTop="1" thickBot="1">
      <c r="F44" s="16"/>
      <c r="H44" s="33">
        <f>'V_1,1pu_DIG'!H44</f>
        <v>3985821.5128942803</v>
      </c>
      <c r="I44" s="8">
        <f t="shared" si="10"/>
        <v>401851.89477363235</v>
      </c>
      <c r="J44" s="12">
        <f t="shared" si="9"/>
        <v>606.73434055278631</v>
      </c>
      <c r="K44" s="1">
        <f t="shared" si="11"/>
        <v>-45676018.991247863</v>
      </c>
      <c r="L44" s="1">
        <f t="shared" si="7"/>
        <v>401851.89477363235</v>
      </c>
      <c r="M44" s="14">
        <f t="shared" si="0"/>
        <v>3985.8215128942802</v>
      </c>
      <c r="N44" s="14">
        <f t="shared" si="0"/>
        <v>401.85189477363235</v>
      </c>
      <c r="O44" s="14">
        <f t="shared" si="2"/>
        <v>877.63010699048436</v>
      </c>
      <c r="P44" s="14">
        <f t="shared" si="1"/>
        <v>401.85189477363235</v>
      </c>
      <c r="Q44" s="14">
        <f t="shared" si="6"/>
        <v>4006.0277180748521</v>
      </c>
      <c r="R44" s="7">
        <f t="shared" si="8"/>
        <v>0.99495604958263184</v>
      </c>
    </row>
    <row r="45" spans="1:18" ht="16.5" thickTop="1" thickBot="1">
      <c r="F45" s="16"/>
      <c r="H45" s="33">
        <f>'V_1,1pu_DIG'!H45</f>
        <v>3930462.8807707485</v>
      </c>
      <c r="I45" s="8">
        <f t="shared" si="10"/>
        <v>401851.89477363235</v>
      </c>
      <c r="J45" s="12">
        <f t="shared" si="9"/>
        <v>606.46703439414966</v>
      </c>
      <c r="K45" s="1">
        <f t="shared" si="11"/>
        <v>-45685096.859540328</v>
      </c>
      <c r="L45" s="1">
        <f t="shared" ref="L45:L56" si="12">IF(ABS(I45)&lt;ABS(K45),I45,K45)</f>
        <v>401851.89477363235</v>
      </c>
      <c r="M45" s="14">
        <f t="shared" ref="M45:M56" si="13">H45/1000</f>
        <v>3930.4628807707486</v>
      </c>
      <c r="N45" s="14">
        <f t="shared" ref="N45:N56" si="14">I45/1000</f>
        <v>401.85189477363235</v>
      </c>
      <c r="O45" s="14">
        <f t="shared" ref="O45:O56" si="15">J45*1.43+10</f>
        <v>877.24785918363398</v>
      </c>
      <c r="P45" s="14">
        <f t="shared" ref="P45:P56" si="16">L45/1000</f>
        <v>401.85189477363235</v>
      </c>
      <c r="Q45" s="14">
        <f t="shared" ref="Q45:Q56" si="17">SQRT(M45^2+P45^2)</f>
        <v>3950.9522146502673</v>
      </c>
      <c r="R45" s="7">
        <f t="shared" ref="R45:R56" si="18">M45/SQRT(M45^2+P45^2)</f>
        <v>0.99481407702083979</v>
      </c>
    </row>
    <row r="46" spans="1:18" ht="16.5" thickTop="1" thickBot="1">
      <c r="F46" s="16"/>
      <c r="H46" s="33">
        <f>'V_1,1pu_DIG'!H46</f>
        <v>3875104.2486472167</v>
      </c>
      <c r="I46" s="8">
        <f t="shared" si="10"/>
        <v>401851.89477363235</v>
      </c>
      <c r="J46" s="12">
        <f t="shared" si="9"/>
        <v>606.20335137544589</v>
      </c>
      <c r="K46" s="1">
        <f t="shared" si="11"/>
        <v>-45694044.423707753</v>
      </c>
      <c r="L46" s="1">
        <f t="shared" si="12"/>
        <v>401851.89477363235</v>
      </c>
      <c r="M46" s="14">
        <f t="shared" si="13"/>
        <v>3875.1042486472165</v>
      </c>
      <c r="N46" s="14">
        <f t="shared" si="14"/>
        <v>401.85189477363235</v>
      </c>
      <c r="O46" s="14">
        <f t="shared" si="15"/>
        <v>876.87079246688756</v>
      </c>
      <c r="P46" s="14">
        <f t="shared" si="16"/>
        <v>401.85189477363235</v>
      </c>
      <c r="Q46" s="14">
        <f t="shared" si="17"/>
        <v>3895.8847369008322</v>
      </c>
      <c r="R46" s="7">
        <f t="shared" si="18"/>
        <v>0.9946660413084637</v>
      </c>
    </row>
    <row r="47" spans="1:18" ht="16.5" thickTop="1" thickBot="1">
      <c r="F47" s="16"/>
      <c r="H47" s="33">
        <f>'V_1,1pu_DIG'!H47</f>
        <v>3819745.6165236849</v>
      </c>
      <c r="I47" s="8">
        <f t="shared" si="10"/>
        <v>-107793.84580588117</v>
      </c>
      <c r="J47" s="12">
        <f t="shared" si="9"/>
        <v>592.2895144739939</v>
      </c>
      <c r="K47" s="1">
        <f t="shared" si="11"/>
        <v>-45702861.828524046</v>
      </c>
      <c r="L47" s="1">
        <f t="shared" si="12"/>
        <v>-107793.84580588117</v>
      </c>
      <c r="M47" s="14">
        <f t="shared" si="13"/>
        <v>3819.7456165236849</v>
      </c>
      <c r="N47" s="14">
        <f t="shared" si="14"/>
        <v>-107.79384580588116</v>
      </c>
      <c r="O47" s="14">
        <f t="shared" si="15"/>
        <v>856.97400569781121</v>
      </c>
      <c r="P47" s="14">
        <f t="shared" si="16"/>
        <v>-107.79384580588116</v>
      </c>
      <c r="Q47" s="14">
        <f t="shared" si="17"/>
        <v>3821.2662938017716</v>
      </c>
      <c r="R47" s="7">
        <f t="shared" si="18"/>
        <v>0.99960204885994119</v>
      </c>
    </row>
    <row r="48" spans="1:18" ht="16.5" thickTop="1" thickBot="1">
      <c r="F48" s="16"/>
      <c r="H48" s="33">
        <f>'V_1,1pu_DIG'!H48</f>
        <v>3764386.9844001532</v>
      </c>
      <c r="I48" s="8">
        <f t="shared" si="10"/>
        <v>-422518.16019043891</v>
      </c>
      <c r="J48" s="12">
        <f t="shared" si="9"/>
        <v>583.59664219432</v>
      </c>
      <c r="K48" s="1">
        <f t="shared" si="11"/>
        <v>-45711549.216447338</v>
      </c>
      <c r="L48" s="1">
        <f t="shared" si="12"/>
        <v>-422518.16019043891</v>
      </c>
      <c r="M48" s="14">
        <f t="shared" si="13"/>
        <v>3764.3869844001533</v>
      </c>
      <c r="N48" s="14">
        <f t="shared" si="14"/>
        <v>-422.51816019043889</v>
      </c>
      <c r="O48" s="14">
        <f t="shared" si="15"/>
        <v>844.54319833787758</v>
      </c>
      <c r="P48" s="14">
        <f t="shared" si="16"/>
        <v>-422.51816019043889</v>
      </c>
      <c r="Q48" s="14">
        <f t="shared" si="17"/>
        <v>3788.0246783794842</v>
      </c>
      <c r="R48" s="7">
        <f t="shared" si="18"/>
        <v>0.99375988912790214</v>
      </c>
    </row>
    <row r="49" spans="6:18" ht="16.5" thickTop="1" thickBot="1">
      <c r="F49" s="16"/>
      <c r="H49" s="33">
        <f>'V_1,1pu_DIG'!H49</f>
        <v>3709028.3522766214</v>
      </c>
      <c r="I49" s="8">
        <f t="shared" si="10"/>
        <v>-643759.9059683613</v>
      </c>
      <c r="J49" s="12">
        <f t="shared" si="9"/>
        <v>577.40748385074767</v>
      </c>
      <c r="K49" s="1">
        <f t="shared" si="11"/>
        <v>-45720106.727631934</v>
      </c>
      <c r="L49" s="1">
        <f t="shared" si="12"/>
        <v>-643759.9059683613</v>
      </c>
      <c r="M49" s="14">
        <f t="shared" si="13"/>
        <v>3709.0283522766213</v>
      </c>
      <c r="N49" s="14">
        <f t="shared" si="14"/>
        <v>-643.75990596836129</v>
      </c>
      <c r="O49" s="14">
        <f t="shared" si="15"/>
        <v>835.69270190656914</v>
      </c>
      <c r="P49" s="14">
        <f t="shared" si="16"/>
        <v>-643.75990596836129</v>
      </c>
      <c r="Q49" s="14">
        <f t="shared" si="17"/>
        <v>3764.4811242087831</v>
      </c>
      <c r="R49" s="7">
        <f t="shared" si="18"/>
        <v>0.98526947802299925</v>
      </c>
    </row>
    <row r="50" spans="6:18" ht="16.5" thickTop="1" thickBot="1">
      <c r="F50" s="16"/>
      <c r="H50" s="33">
        <f>'V_1,1pu_DIG'!H50</f>
        <v>3653669.7201530896</v>
      </c>
      <c r="I50" s="8">
        <f t="shared" si="10"/>
        <v>-823257.4602960248</v>
      </c>
      <c r="J50" s="12">
        <f t="shared" si="9"/>
        <v>572.33692872994823</v>
      </c>
      <c r="K50" s="1">
        <f t="shared" si="11"/>
        <v>-45728534.499939919</v>
      </c>
      <c r="L50" s="1">
        <f t="shared" si="12"/>
        <v>-823257.4602960248</v>
      </c>
      <c r="M50" s="14">
        <f t="shared" si="13"/>
        <v>3653.6697201530897</v>
      </c>
      <c r="N50" s="14">
        <f t="shared" si="14"/>
        <v>-823.25746029602476</v>
      </c>
      <c r="O50" s="14">
        <f t="shared" si="15"/>
        <v>828.44180808382589</v>
      </c>
      <c r="P50" s="14">
        <f t="shared" si="16"/>
        <v>-823.25746029602476</v>
      </c>
      <c r="Q50" s="14">
        <f t="shared" si="17"/>
        <v>3745.2710542625105</v>
      </c>
      <c r="R50" s="7">
        <f t="shared" si="18"/>
        <v>0.97554213492634423</v>
      </c>
    </row>
    <row r="51" spans="6:18" ht="16.5" thickTop="1" thickBot="1">
      <c r="F51" s="16"/>
      <c r="H51" s="33">
        <f>'V_1,1pu_DIG'!H51</f>
        <v>3598311.0880295578</v>
      </c>
      <c r="I51" s="8">
        <f t="shared" si="10"/>
        <v>-977406.11937973322</v>
      </c>
      <c r="J51" s="12">
        <f t="shared" si="9"/>
        <v>567.9463144131297</v>
      </c>
      <c r="K51" s="1">
        <f t="shared" si="11"/>
        <v>-45736832.668952644</v>
      </c>
      <c r="L51" s="1">
        <f t="shared" si="12"/>
        <v>-977406.11937973322</v>
      </c>
      <c r="M51" s="14">
        <f t="shared" si="13"/>
        <v>3598.3110880295581</v>
      </c>
      <c r="N51" s="14">
        <f t="shared" si="14"/>
        <v>-977.40611937973324</v>
      </c>
      <c r="O51" s="14">
        <f t="shared" si="15"/>
        <v>822.16322961077549</v>
      </c>
      <c r="P51" s="14">
        <f t="shared" si="16"/>
        <v>-977.40611937973324</v>
      </c>
      <c r="Q51" s="14">
        <f t="shared" si="17"/>
        <v>3728.694866630603</v>
      </c>
      <c r="R51" s="7">
        <f t="shared" si="18"/>
        <v>0.96503232812963724</v>
      </c>
    </row>
    <row r="52" spans="6:18" ht="16.5" thickTop="1" thickBot="1">
      <c r="F52" s="16"/>
      <c r="H52" s="33">
        <f>'V_1,1pu_DIG'!H52</f>
        <v>3542952.4559060261</v>
      </c>
      <c r="I52" s="8">
        <f t="shared" si="10"/>
        <v>-1113959.1920812577</v>
      </c>
      <c r="J52" s="12">
        <f t="shared" si="9"/>
        <v>564.0283267920978</v>
      </c>
      <c r="K52" s="1">
        <f t="shared" si="11"/>
        <v>-45745001.36798197</v>
      </c>
      <c r="L52" s="1">
        <f t="shared" si="12"/>
        <v>-1113959.1920812577</v>
      </c>
      <c r="M52" s="14">
        <f t="shared" si="13"/>
        <v>3542.952455906026</v>
      </c>
      <c r="N52" s="14">
        <f t="shared" si="14"/>
        <v>-1113.9591920812577</v>
      </c>
      <c r="O52" s="14">
        <f t="shared" si="15"/>
        <v>816.56050731269977</v>
      </c>
      <c r="P52" s="14">
        <f t="shared" si="16"/>
        <v>-1113.9591920812577</v>
      </c>
      <c r="Q52" s="14">
        <f t="shared" si="17"/>
        <v>3713.9490015928964</v>
      </c>
      <c r="R52" s="7">
        <f t="shared" si="18"/>
        <v>0.95395829463098958</v>
      </c>
    </row>
    <row r="53" spans="6:18" ht="16.5" thickTop="1" thickBot="1">
      <c r="F53" s="16"/>
      <c r="H53" s="33">
        <f>'V_1,1pu_DIG'!H53</f>
        <v>3321517.9274118994</v>
      </c>
      <c r="I53" s="8">
        <f t="shared" si="10"/>
        <v>-1552045.2401145133</v>
      </c>
      <c r="J53" s="12">
        <f t="shared" si="9"/>
        <v>551.27080442192459</v>
      </c>
      <c r="K53" s="1">
        <f t="shared" si="11"/>
        <v>-45776384.051680975</v>
      </c>
      <c r="L53" s="1">
        <f t="shared" si="12"/>
        <v>-1552045.2401145133</v>
      </c>
      <c r="M53" s="14">
        <f t="shared" si="13"/>
        <v>3321.5179274118996</v>
      </c>
      <c r="N53" s="14">
        <f t="shared" si="14"/>
        <v>-1552.0452401145133</v>
      </c>
      <c r="O53" s="14">
        <f t="shared" si="15"/>
        <v>798.31725032335214</v>
      </c>
      <c r="P53" s="14">
        <f t="shared" si="16"/>
        <v>-1552.0452401145133</v>
      </c>
      <c r="Q53" s="14">
        <f t="shared" si="17"/>
        <v>3666.2413681426865</v>
      </c>
      <c r="R53" s="7">
        <f t="shared" si="18"/>
        <v>0.90597360999572607</v>
      </c>
    </row>
    <row r="54" spans="6:18" ht="16.5" thickTop="1" thickBot="1">
      <c r="F54" s="16"/>
      <c r="H54" s="33">
        <f>'V_1,1pu_DIG'!H54</f>
        <v>3100083.3989177728</v>
      </c>
      <c r="I54" s="8">
        <f t="shared" si="10"/>
        <v>-1887182.4596206339</v>
      </c>
      <c r="J54" s="12">
        <f t="shared" si="9"/>
        <v>541.30831099920783</v>
      </c>
      <c r="K54" s="1">
        <f t="shared" si="11"/>
        <v>-45805705.29783611</v>
      </c>
      <c r="L54" s="1">
        <f t="shared" si="12"/>
        <v>-1887182.4596206339</v>
      </c>
      <c r="M54" s="14">
        <f t="shared" si="13"/>
        <v>3100.0833989177727</v>
      </c>
      <c r="N54" s="14">
        <f t="shared" si="14"/>
        <v>-1887.1824596206338</v>
      </c>
      <c r="O54" s="14">
        <f t="shared" si="15"/>
        <v>784.07088472886721</v>
      </c>
      <c r="P54" s="14">
        <f t="shared" si="16"/>
        <v>-1887.1824596206338</v>
      </c>
      <c r="Q54" s="14">
        <f t="shared" si="17"/>
        <v>3629.3215228394074</v>
      </c>
      <c r="R54" s="7">
        <f t="shared" si="18"/>
        <v>0.85417711806707497</v>
      </c>
    </row>
    <row r="55" spans="6:18" ht="16.5" thickTop="1" thickBot="1">
      <c r="F55" s="16"/>
      <c r="H55" s="33">
        <f>'V_1,1pu_DIG'!H55</f>
        <v>2878648.8704236462</v>
      </c>
      <c r="I55" s="8">
        <f t="shared" si="10"/>
        <v>-2160095.8089571469</v>
      </c>
      <c r="J55" s="12">
        <f t="shared" si="9"/>
        <v>533.05799314346518</v>
      </c>
      <c r="K55" s="1">
        <f t="shared" si="11"/>
        <v>-45832972.571749076</v>
      </c>
      <c r="L55" s="1">
        <f t="shared" si="12"/>
        <v>-2160095.8089571469</v>
      </c>
      <c r="M55" s="14">
        <f t="shared" si="13"/>
        <v>2878.6488704236463</v>
      </c>
      <c r="N55" s="14">
        <f t="shared" si="14"/>
        <v>-2160.0958089571468</v>
      </c>
      <c r="O55" s="14">
        <f t="shared" si="15"/>
        <v>772.27293019515514</v>
      </c>
      <c r="P55" s="14">
        <f t="shared" si="16"/>
        <v>-2160.0958089571468</v>
      </c>
      <c r="Q55" s="14">
        <f t="shared" si="17"/>
        <v>3598.9766910978415</v>
      </c>
      <c r="R55" s="7">
        <f t="shared" si="18"/>
        <v>0.79985204615080063</v>
      </c>
    </row>
    <row r="56" spans="6:18" ht="16.5" thickTop="1" thickBot="1">
      <c r="F56" s="16"/>
      <c r="H56" s="33">
        <f>'V_1,1pu_DIG'!H56</f>
        <v>2657214.3419295195</v>
      </c>
      <c r="I56" s="8">
        <f t="shared" si="10"/>
        <v>-2389099.0716331257</v>
      </c>
      <c r="J56" s="12">
        <f t="shared" si="9"/>
        <v>526.0352667921934</v>
      </c>
      <c r="K56" s="1">
        <f t="shared" si="11"/>
        <v>-45858192.783456519</v>
      </c>
      <c r="L56" s="1">
        <f t="shared" si="12"/>
        <v>-2389099.0716331257</v>
      </c>
      <c r="M56" s="14">
        <f t="shared" si="13"/>
        <v>2657.2143419295194</v>
      </c>
      <c r="N56" s="14">
        <f t="shared" si="14"/>
        <v>-2389.0990716331257</v>
      </c>
      <c r="O56" s="14">
        <f t="shared" si="15"/>
        <v>762.2304315128365</v>
      </c>
      <c r="P56" s="14">
        <f t="shared" si="16"/>
        <v>-2389.0990716331257</v>
      </c>
      <c r="Q56" s="14">
        <f t="shared" si="17"/>
        <v>3573.3153279600433</v>
      </c>
      <c r="R56" s="7">
        <f t="shared" si="18"/>
        <v>0.74362716358606018</v>
      </c>
    </row>
    <row r="57" spans="6:18" ht="16.5" thickTop="1" thickBot="1">
      <c r="F57" s="16"/>
      <c r="H57" s="33">
        <f>'V_1,1pu_DIG'!H57</f>
        <v>2435779.8134353929</v>
      </c>
      <c r="I57" s="8">
        <f t="shared" si="10"/>
        <v>-2584311.5395185007</v>
      </c>
      <c r="J57" s="12">
        <f t="shared" si="9"/>
        <v>519.97390314080997</v>
      </c>
      <c r="K57" s="1">
        <f t="shared" si="11"/>
        <v>-45881372.296663001</v>
      </c>
      <c r="L57" s="1">
        <f t="shared" ref="L57:L68" si="19">IF(ABS(I57)&lt;ABS(K57),I57,K57)</f>
        <v>-2584311.5395185007</v>
      </c>
      <c r="M57" s="14">
        <f t="shared" ref="M57:M68" si="20">H57/1000</f>
        <v>2435.779813435393</v>
      </c>
      <c r="N57" s="14">
        <f t="shared" ref="N57:N68" si="21">I57/1000</f>
        <v>-2584.3115395185005</v>
      </c>
      <c r="O57" s="14">
        <f t="shared" ref="O57:O68" si="22">J57*1.43+10</f>
        <v>753.56268149135826</v>
      </c>
      <c r="P57" s="14">
        <f t="shared" ref="P57:P68" si="23">L57/1000</f>
        <v>-2584.3115395185005</v>
      </c>
      <c r="Q57" s="14">
        <f t="shared" ref="Q57:Q68" si="24">SQRT(M57^2+P57^2)</f>
        <v>3551.2940504593307</v>
      </c>
      <c r="R57" s="7">
        <f t="shared" ref="R57:R68" si="25">M57/SQRT(M57^2+P57^2)</f>
        <v>0.68588513900175196</v>
      </c>
    </row>
    <row r="58" spans="6:18" ht="16.5" thickTop="1" thickBot="1">
      <c r="F58" s="16"/>
      <c r="H58" s="33">
        <f>'V_1,1pu_DIG'!H58</f>
        <v>2214345.2849412663</v>
      </c>
      <c r="I58" s="8">
        <f t="shared" si="10"/>
        <v>-2752014.0368888294</v>
      </c>
      <c r="J58" s="12">
        <f t="shared" si="9"/>
        <v>514.70972919668293</v>
      </c>
      <c r="K58" s="1">
        <f t="shared" si="11"/>
        <v>-45902516.936909355</v>
      </c>
      <c r="L58" s="1">
        <f t="shared" si="19"/>
        <v>-2752014.0368888294</v>
      </c>
      <c r="M58" s="14">
        <f t="shared" si="20"/>
        <v>2214.3452849412661</v>
      </c>
      <c r="N58" s="14">
        <f t="shared" si="21"/>
        <v>-2752.0140368888297</v>
      </c>
      <c r="O58" s="14">
        <f t="shared" si="22"/>
        <v>746.03491275125657</v>
      </c>
      <c r="P58" s="14">
        <f t="shared" si="23"/>
        <v>-2752.0140368888297</v>
      </c>
      <c r="Q58" s="14">
        <f t="shared" si="24"/>
        <v>3532.2664537340283</v>
      </c>
      <c r="R58" s="7">
        <f t="shared" si="25"/>
        <v>0.62689078356488026</v>
      </c>
    </row>
    <row r="59" spans="6:18" ht="16.5" thickTop="1" thickBot="1">
      <c r="F59" s="16"/>
      <c r="H59" s="33">
        <f>'V_1,1pu_DIG'!H59</f>
        <v>1992910.7564471397</v>
      </c>
      <c r="I59" s="8">
        <f t="shared" si="10"/>
        <v>-2896405.5349428589</v>
      </c>
      <c r="J59" s="12">
        <f t="shared" si="9"/>
        <v>510.13376779255117</v>
      </c>
      <c r="K59" s="1">
        <f t="shared" si="11"/>
        <v>-45921631.999001317</v>
      </c>
      <c r="L59" s="1">
        <f t="shared" si="19"/>
        <v>-2896405.5349428589</v>
      </c>
      <c r="M59" s="14">
        <f t="shared" si="20"/>
        <v>1992.9107564471396</v>
      </c>
      <c r="N59" s="14">
        <f t="shared" si="21"/>
        <v>-2896.405534942859</v>
      </c>
      <c r="O59" s="14">
        <f t="shared" si="22"/>
        <v>739.49128794334808</v>
      </c>
      <c r="P59" s="14">
        <f t="shared" si="23"/>
        <v>-2896.405534942859</v>
      </c>
      <c r="Q59" s="14">
        <f t="shared" si="24"/>
        <v>3515.8012324376841</v>
      </c>
      <c r="R59" s="7">
        <f t="shared" si="25"/>
        <v>0.56684397799853803</v>
      </c>
    </row>
    <row r="60" spans="6:18" ht="16.5" thickTop="1" thickBot="1">
      <c r="F60" s="16"/>
      <c r="H60" s="33">
        <f>'V_1,1pu_DIG'!H60</f>
        <v>1771476.227953013</v>
      </c>
      <c r="I60" s="8">
        <f t="shared" si="10"/>
        <v>-3020437.8839622522</v>
      </c>
      <c r="J60" s="12">
        <f t="shared" si="9"/>
        <v>506.16998617477316</v>
      </c>
      <c r="K60" s="1">
        <f t="shared" si="11"/>
        <v>-45938722.253720865</v>
      </c>
      <c r="L60" s="1">
        <f t="shared" si="19"/>
        <v>-3020437.8839622522</v>
      </c>
      <c r="M60" s="14">
        <f t="shared" si="20"/>
        <v>1771.476227953013</v>
      </c>
      <c r="N60" s="14">
        <f t="shared" si="21"/>
        <v>-3020.4378839622523</v>
      </c>
      <c r="O60" s="14">
        <f t="shared" si="22"/>
        <v>733.82308022992561</v>
      </c>
      <c r="P60" s="14">
        <f t="shared" si="23"/>
        <v>-3020.4378839622523</v>
      </c>
      <c r="Q60" s="14">
        <f t="shared" si="24"/>
        <v>3501.5957843641809</v>
      </c>
      <c r="R60" s="7">
        <f t="shared" si="25"/>
        <v>0.50590540343441648</v>
      </c>
    </row>
    <row r="61" spans="6:18" ht="16.5" thickTop="1" thickBot="1">
      <c r="F61" s="16"/>
      <c r="H61" s="33">
        <f>'V_1,1pu_DIG'!H61</f>
        <v>1550041.6994588864</v>
      </c>
      <c r="I61" s="8">
        <f t="shared" si="10"/>
        <v>-3126258.9433069052</v>
      </c>
      <c r="J61" s="12">
        <f t="shared" si="9"/>
        <v>502.76349041392223</v>
      </c>
      <c r="K61" s="1">
        <f t="shared" si="11"/>
        <v>-45953791.953840278</v>
      </c>
      <c r="L61" s="1">
        <f t="shared" si="19"/>
        <v>-3126258.9433069052</v>
      </c>
      <c r="M61" s="14">
        <f t="shared" si="20"/>
        <v>1550.0416994588863</v>
      </c>
      <c r="N61" s="14">
        <f t="shared" si="21"/>
        <v>-3126.2589433069052</v>
      </c>
      <c r="O61" s="14">
        <f t="shared" si="22"/>
        <v>728.95179129190876</v>
      </c>
      <c r="P61" s="14">
        <f t="shared" si="23"/>
        <v>-3126.2589433069052</v>
      </c>
      <c r="Q61" s="14">
        <f t="shared" si="24"/>
        <v>3489.4303619169418</v>
      </c>
      <c r="R61" s="7">
        <f t="shared" si="25"/>
        <v>0.44421052684580892</v>
      </c>
    </row>
    <row r="62" spans="6:18" ht="16.5" thickTop="1" thickBot="1">
      <c r="F62" s="16"/>
      <c r="H62" s="33">
        <f>'V_1,1pu_DIG'!H62</f>
        <v>1328607.1709647598</v>
      </c>
      <c r="I62" s="8">
        <f t="shared" si="10"/>
        <v>-3215467.3254644377</v>
      </c>
      <c r="J62" s="12">
        <f t="shared" si="9"/>
        <v>499.87374145540275</v>
      </c>
      <c r="K62" s="1">
        <f t="shared" si="11"/>
        <v>-45966844.83945699</v>
      </c>
      <c r="L62" s="1">
        <f t="shared" si="19"/>
        <v>-3215467.3254644377</v>
      </c>
      <c r="M62" s="14">
        <f t="shared" si="20"/>
        <v>1328.6071709647597</v>
      </c>
      <c r="N62" s="14">
        <f t="shared" si="21"/>
        <v>-3215.4673254644376</v>
      </c>
      <c r="O62" s="14">
        <f t="shared" si="22"/>
        <v>724.81945028122595</v>
      </c>
      <c r="P62" s="14">
        <f t="shared" si="23"/>
        <v>-3215.4673254644376</v>
      </c>
      <c r="Q62" s="14">
        <f t="shared" si="24"/>
        <v>3479.1417240274081</v>
      </c>
      <c r="R62" s="7">
        <f t="shared" si="25"/>
        <v>0.38187785274432046</v>
      </c>
    </row>
    <row r="63" spans="6:18" ht="16.5" thickTop="1" thickBot="1">
      <c r="F63" s="16"/>
      <c r="H63" s="33">
        <f>'V_1,1pu_DIG'!H63</f>
        <v>1107172.6424706331</v>
      </c>
      <c r="I63" s="8">
        <f t="shared" si="10"/>
        <v>-3289267.7315196339</v>
      </c>
      <c r="J63" s="12">
        <f t="shared" si="9"/>
        <v>497.47041934325455</v>
      </c>
      <c r="K63" s="1">
        <f t="shared" si="11"/>
        <v>-45977884.142664716</v>
      </c>
      <c r="L63" s="1">
        <f t="shared" si="19"/>
        <v>-3289267.7315196339</v>
      </c>
      <c r="M63" s="14">
        <f t="shared" si="20"/>
        <v>1107.172642470633</v>
      </c>
      <c r="N63" s="14">
        <f t="shared" si="21"/>
        <v>-3289.2677315196338</v>
      </c>
      <c r="O63" s="14">
        <f t="shared" si="22"/>
        <v>721.38269966085397</v>
      </c>
      <c r="P63" s="14">
        <f t="shared" si="23"/>
        <v>-3289.2677315196338</v>
      </c>
      <c r="Q63" s="14">
        <f t="shared" si="24"/>
        <v>3470.6070751169345</v>
      </c>
      <c r="R63" s="7">
        <f t="shared" si="25"/>
        <v>0.31901411439188321</v>
      </c>
    </row>
    <row r="64" spans="6:18" ht="16.5" thickTop="1" thickBot="1">
      <c r="F64" s="16"/>
      <c r="H64" s="33">
        <f>'V_1,1pu_DIG'!H64</f>
        <v>885738.1139765064</v>
      </c>
      <c r="I64" s="8">
        <f t="shared" si="10"/>
        <v>-3348569.8614148744</v>
      </c>
      <c r="J64" s="12">
        <f t="shared" si="9"/>
        <v>495.53078978080146</v>
      </c>
      <c r="K64" s="1">
        <f t="shared" si="11"/>
        <v>-45986912.591574773</v>
      </c>
      <c r="L64" s="1">
        <f t="shared" si="19"/>
        <v>-3348569.8614148744</v>
      </c>
      <c r="M64" s="14">
        <f t="shared" si="20"/>
        <v>885.73811397650638</v>
      </c>
      <c r="N64" s="14">
        <f t="shared" si="21"/>
        <v>-3348.5698614148746</v>
      </c>
      <c r="O64" s="14">
        <f t="shared" si="22"/>
        <v>718.60902938654601</v>
      </c>
      <c r="P64" s="14">
        <f t="shared" si="23"/>
        <v>-3348.5698614148746</v>
      </c>
      <c r="Q64" s="14">
        <f t="shared" si="24"/>
        <v>3463.7338412942022</v>
      </c>
      <c r="R64" s="7">
        <f t="shared" si="25"/>
        <v>0.25571771809278393</v>
      </c>
    </row>
    <row r="65" spans="6:18" ht="16.5" thickTop="1" thickBot="1">
      <c r="F65" s="16"/>
      <c r="H65" s="33">
        <f>'V_1,1pu_DIG'!H65</f>
        <v>664303.58548237965</v>
      </c>
      <c r="I65" s="8">
        <f t="shared" si="10"/>
        <v>-3394053.2808278343</v>
      </c>
      <c r="J65" s="12">
        <f t="shared" si="9"/>
        <v>494.03797678185629</v>
      </c>
      <c r="K65" s="1">
        <f t="shared" si="11"/>
        <v>-45993932.413699165</v>
      </c>
      <c r="L65" s="1">
        <f t="shared" si="19"/>
        <v>-3394053.2808278343</v>
      </c>
      <c r="M65" s="14">
        <f t="shared" si="20"/>
        <v>664.30358548237962</v>
      </c>
      <c r="N65" s="14">
        <f t="shared" si="21"/>
        <v>-3394.0532808278344</v>
      </c>
      <c r="O65" s="14">
        <f t="shared" si="22"/>
        <v>716.4743067980545</v>
      </c>
      <c r="P65" s="14">
        <f t="shared" si="23"/>
        <v>-3394.0532808278344</v>
      </c>
      <c r="Q65" s="14">
        <f t="shared" si="24"/>
        <v>3458.4529672648337</v>
      </c>
      <c r="R65" s="7">
        <f t="shared" si="25"/>
        <v>0.19208113910184341</v>
      </c>
    </row>
    <row r="66" spans="6:18" ht="16.5" thickTop="1" thickBot="1">
      <c r="F66" s="16"/>
      <c r="H66" s="33">
        <f>'V_1,1pu_DIG'!H66</f>
        <v>442869.05698825291</v>
      </c>
      <c r="I66" s="8">
        <f t="shared" si="10"/>
        <v>-3426210.5856732423</v>
      </c>
      <c r="J66" s="12">
        <f t="shared" si="9"/>
        <v>492.97981287833937</v>
      </c>
      <c r="K66" s="1">
        <f t="shared" si="11"/>
        <v>-45998945.338705413</v>
      </c>
      <c r="L66" s="1">
        <f t="shared" si="19"/>
        <v>-3426210.5856732423</v>
      </c>
      <c r="M66" s="14">
        <f t="shared" si="20"/>
        <v>442.86905698825291</v>
      </c>
      <c r="N66" s="14">
        <f t="shared" si="21"/>
        <v>-3426.2105856732423</v>
      </c>
      <c r="O66" s="14">
        <f t="shared" si="22"/>
        <v>714.96113241602529</v>
      </c>
      <c r="P66" s="14">
        <f t="shared" si="23"/>
        <v>-3426.2105856732423</v>
      </c>
      <c r="Q66" s="14">
        <f t="shared" si="24"/>
        <v>3454.7144569438797</v>
      </c>
      <c r="R66" s="7">
        <f t="shared" si="25"/>
        <v>0.12819266614006217</v>
      </c>
    </row>
    <row r="67" spans="6:18" ht="16.5" thickTop="1" thickBot="1">
      <c r="F67" s="16"/>
      <c r="H67" s="33">
        <f>'V_1,1pu_DIG'!H67</f>
        <v>221434.52849412619</v>
      </c>
      <c r="I67" s="8">
        <f t="shared" si="10"/>
        <v>-3445375.9520575544</v>
      </c>
      <c r="J67" s="12">
        <f t="shared" si="9"/>
        <v>492.34807832748567</v>
      </c>
      <c r="K67" s="1">
        <f t="shared" si="11"/>
        <v>-46001952.600550964</v>
      </c>
      <c r="L67" s="1">
        <f t="shared" si="19"/>
        <v>-3445375.9520575544</v>
      </c>
      <c r="M67" s="14">
        <f t="shared" si="20"/>
        <v>221.4345284941262</v>
      </c>
      <c r="N67" s="14">
        <f t="shared" si="21"/>
        <v>-3445.3759520575545</v>
      </c>
      <c r="O67" s="14">
        <f t="shared" si="22"/>
        <v>714.05775200830442</v>
      </c>
      <c r="P67" s="14">
        <f t="shared" si="23"/>
        <v>-3445.3759520575545</v>
      </c>
      <c r="Q67" s="14">
        <f t="shared" si="24"/>
        <v>3452.484424501567</v>
      </c>
      <c r="R67" s="7">
        <f t="shared" si="25"/>
        <v>6.4137734242231834E-2</v>
      </c>
    </row>
    <row r="68" spans="6:18" ht="16.5" thickTop="1" thickBot="1">
      <c r="F68" s="16"/>
      <c r="H68" s="33">
        <f>'V_1,1pu_DIG'!H68</f>
        <v>-5.2386894822120667E-10</v>
      </c>
      <c r="I68" s="8">
        <f t="shared" si="10"/>
        <v>-3451743.2261287626</v>
      </c>
      <c r="J68" s="12">
        <f>SQRT(3)*SQRT(($B$3/SQRT(3)*K_1+SQRT(H68^2+I68^2)/SQRT(3)/$B$3/Nm*I68/SQRT(H68^2+I68^2)*K_2)^2+(SQRT(H68^2+I68^2)/SQRT(3)/$B$3/Nm*H68/SQRT(H68^2+I68^2)*K_2)^2)</f>
        <v>492.13801887135531</v>
      </c>
      <c r="K68" s="1">
        <f t="shared" si="11"/>
        <v>-46002954.939003445</v>
      </c>
      <c r="L68" s="1">
        <f t="shared" si="19"/>
        <v>-3451743.2261287626</v>
      </c>
      <c r="M68" s="14">
        <f t="shared" si="20"/>
        <v>-5.2386894822120663E-13</v>
      </c>
      <c r="N68" s="14">
        <f t="shared" si="21"/>
        <v>-3451.7432261287627</v>
      </c>
      <c r="O68" s="14">
        <f t="shared" si="22"/>
        <v>713.75736698603805</v>
      </c>
      <c r="P68" s="14">
        <f t="shared" si="23"/>
        <v>-3451.7432261287627</v>
      </c>
      <c r="Q68" s="14">
        <f t="shared" si="24"/>
        <v>3451.7432261287627</v>
      </c>
      <c r="R68" s="7">
        <f t="shared" si="25"/>
        <v>-1.5176938546751113E-16</v>
      </c>
    </row>
    <row r="69" spans="6:18" ht="15.75" thickTop="1"/>
  </sheetData>
  <hyperlinks>
    <hyperlink ref="A13" r:id="rId1" display="Vdc@Tmin" xr:uid="{00000000-0004-0000-0700-000000000000}"/>
    <hyperlink ref="A22" r:id="rId2" display="P@PF=1 (W) (kW)" xr:uid="{00000000-0004-0000-0700-000001000000}"/>
    <hyperlink ref="C22" r:id="rId3" display="P@PF=1 (kW)" xr:uid="{00000000-0004-0000-0700-000002000000}"/>
    <hyperlink ref="C23" r:id="rId4" display="P@PF=1 (kW)" xr:uid="{00000000-0004-0000-0700-000003000000}"/>
  </hyperlinks>
  <pageMargins left="0.7" right="0.7" top="0.75" bottom="0.75" header="0.3" footer="0.3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69"/>
  <sheetViews>
    <sheetView workbookViewId="0">
      <selection activeCell="D8" sqref="D8"/>
    </sheetView>
  </sheetViews>
  <sheetFormatPr baseColWidth="10" defaultRowHeight="15"/>
  <cols>
    <col min="1" max="1" width="28.140625" customWidth="1"/>
    <col min="2" max="2" width="14.5703125" bestFit="1" customWidth="1"/>
    <col min="3" max="3" width="17.42578125" bestFit="1" customWidth="1"/>
    <col min="4" max="4" width="10.5703125" bestFit="1" customWidth="1"/>
    <col min="6" max="6" width="21.140625" bestFit="1" customWidth="1"/>
    <col min="8" max="8" width="9.140625" hidden="1" customWidth="1"/>
    <col min="9" max="12" width="11.85546875" hidden="1" customWidth="1"/>
    <col min="13" max="13" width="10.5703125" bestFit="1" customWidth="1"/>
    <col min="14" max="15" width="10.5703125" customWidth="1"/>
    <col min="16" max="16" width="10.7109375" bestFit="1" customWidth="1"/>
    <col min="19" max="19" width="10.85546875" bestFit="1" customWidth="1"/>
  </cols>
  <sheetData>
    <row r="1" spans="1:19" ht="15.75" thickBot="1">
      <c r="A1" s="3" t="s">
        <v>70</v>
      </c>
      <c r="B1">
        <f>Capability!B1</f>
        <v>620</v>
      </c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18</v>
      </c>
      <c r="O1" s="2" t="s">
        <v>19</v>
      </c>
      <c r="P1" s="2" t="s">
        <v>14</v>
      </c>
      <c r="Q1" s="2" t="s">
        <v>13</v>
      </c>
      <c r="R1" s="2" t="s">
        <v>12</v>
      </c>
    </row>
    <row r="2" spans="1:19" ht="16.5" thickTop="1" thickBot="1">
      <c r="A2" s="3" t="s">
        <v>71</v>
      </c>
      <c r="B2" s="28">
        <v>0.98</v>
      </c>
      <c r="F2" t="s">
        <v>20</v>
      </c>
      <c r="G2" s="15">
        <f>Capability!G2</f>
        <v>3750</v>
      </c>
      <c r="H2" s="1">
        <f>G2*1000</f>
        <v>3750000</v>
      </c>
      <c r="I2" s="8">
        <f>Nm*(SQRT(IF(3/K_3^2*Ii^2*B3^2-(H2/Nm)^2&lt;0.0000000001,0,3/K_3^2*Ii^2*B3^2-(H2/Nm)^2))+B3^2/K_3*K_4)</f>
        <v>1607424.3746909783</v>
      </c>
      <c r="J2" s="11">
        <f>SQRT(3)*SQRT((B3/SQRT(3)*K_1+SQRT(H2^2+I2^2)/SQRT(3)/B3/Nm*I2/SQRT(H2^2+I2^2)*K_2)^2+(SQRT(H2^2+I2^2)/SQRT(3)/B3/Nm*H2/SQRT(H2^2+I2^2)*K_2)^2)</f>
        <v>648.82111113410144</v>
      </c>
      <c r="K2" s="1">
        <f>Nm*(SQRT(Vi^2*B3^2/K_2^2-(H2/Nm)^2)-B3^2*K_1/K_2)</f>
        <v>2236309.4845562819</v>
      </c>
      <c r="L2" s="1">
        <f>IF(ABS(I2)&lt;ABS(K2),I2,K2)</f>
        <v>1607424.3746909783</v>
      </c>
      <c r="M2" s="13">
        <f t="shared" ref="M2:N44" si="0">H2/1000</f>
        <v>3750</v>
      </c>
      <c r="N2" s="13">
        <f>I2/1000</f>
        <v>1607.4243746909783</v>
      </c>
      <c r="O2" s="13">
        <f>J2*1.43+10</f>
        <v>937.81418892176498</v>
      </c>
      <c r="P2" s="13">
        <f t="shared" ref="P2:P44" si="1">L2/1000</f>
        <v>1607.4243746909783</v>
      </c>
      <c r="Q2" s="13">
        <f>SQRT(M2^2+P2^2)</f>
        <v>4079.9893529702604</v>
      </c>
      <c r="R2" s="9">
        <f>M2/SQRT(M2^2+P2^2)</f>
        <v>0.91912004556334792</v>
      </c>
      <c r="S2" s="10" t="s">
        <v>15</v>
      </c>
    </row>
    <row r="3" spans="1:19" ht="16.5" thickTop="1" thickBot="1">
      <c r="A3" s="21" t="s">
        <v>67</v>
      </c>
      <c r="B3" s="21">
        <f>$B$1*B2</f>
        <v>607.6</v>
      </c>
      <c r="F3" t="s">
        <v>21</v>
      </c>
      <c r="G3" s="15">
        <f>Capability!G3</f>
        <v>2846</v>
      </c>
      <c r="H3" s="1">
        <f>G3*1000</f>
        <v>2846000</v>
      </c>
      <c r="I3" s="8">
        <f>Nm*(-SQRT(IF(3/K_3^2*Ii^2*B3^2-(H3/Nm)^2&lt;0.0000000001,0,3/K_3^2*Ii^2*B3^2-(H3/Nm)^2))+B3^2/K_3*K_4)</f>
        <v>-2297050.7120672711</v>
      </c>
      <c r="J3" s="12">
        <f>SQRT(3)*SQRT((B3/SQRT(3)*K_1+SQRT(H3^2+I3^2)/SQRT(3)/B3/Nm*I3/SQRT(H3^2+I3^2)*K_2)^2+(SQRT(H3^2+I3^2)/SQRT(3)/B3/Nm*H3/SQRT(H3^2+I3^2)*K_2)^2)</f>
        <v>542.36211486449815</v>
      </c>
      <c r="K3" s="1">
        <f>Nm*(-SQRT(Vi^2*B3^2/K_2^2-(H3/Nm)^2)-B3^2*K_1/K_2)</f>
        <v>-47256790.801427074</v>
      </c>
      <c r="L3" s="1">
        <f>IF(ABS(I3)&lt;ABS(K3),I3,K3)</f>
        <v>-2297050.7120672711</v>
      </c>
      <c r="M3" s="13">
        <f t="shared" si="0"/>
        <v>2846</v>
      </c>
      <c r="N3" s="13">
        <f t="shared" si="0"/>
        <v>-2297.050712067271</v>
      </c>
      <c r="O3" s="13">
        <f t="shared" ref="O3:O44" si="2">J3*1.43+10</f>
        <v>785.57782425623236</v>
      </c>
      <c r="P3" s="13">
        <f t="shared" si="1"/>
        <v>-2297.050712067271</v>
      </c>
      <c r="Q3" s="13">
        <f>SQRT(M3^2+P3^2)</f>
        <v>3657.3430210753759</v>
      </c>
      <c r="R3" s="9">
        <f>M3/SQRT(M3^2+P3^2)</f>
        <v>0.77816053446449351</v>
      </c>
      <c r="S3" s="10" t="s">
        <v>16</v>
      </c>
    </row>
    <row r="4" spans="1:19" ht="16.5" thickTop="1" thickBot="1">
      <c r="A4" s="3" t="s">
        <v>11</v>
      </c>
      <c r="B4" s="6">
        <f>Nm</f>
        <v>3</v>
      </c>
      <c r="F4" s="16"/>
      <c r="H4" s="33">
        <f>'V_1,1pu_DIG'!H4</f>
        <v>0</v>
      </c>
      <c r="I4" s="8">
        <f t="shared" ref="I4:I36" si="3">Nm*(SQRT(IF(3/K_3^2*Ii^2*$B$3^2-(H4/Nm)^2&lt;0.0000000001,0,3/K_3^2*Ii^2*$B$3^2-(H4/Nm)^2))+$B$3^2/K_3*K_4)</f>
        <v>4352648.4911952801</v>
      </c>
      <c r="J4" s="12">
        <f t="shared" ref="J4:J35" si="4">SQRT(3)*SQRT(($B$3/SQRT(3)*K_1+SQRT(H4^2+I4^2)/SQRT(3)/$B$3/Nm*I4/SQRT(H4^2+I4^2)*K_2)^2+(SQRT(H4^2+I4^2)/SQRT(3)/$B$3/Nm*H4/SQRT(H4^2+I4^2)*K_2)^2)</f>
        <v>714.23390522406544</v>
      </c>
      <c r="K4" s="1">
        <f t="shared" ref="K4:K36" si="5">Nm*(SQRT(Vi^2*$B$3^2/K_2^2-(H4/Nm)^2)-$B$3^2*K_1/K_2)</f>
        <v>2519508.9011829542</v>
      </c>
      <c r="L4" s="1">
        <f>IF(ABS(I4)&lt;ABS(K4),I4,K4)</f>
        <v>2519508.9011829542</v>
      </c>
      <c r="M4" s="14">
        <f t="shared" si="0"/>
        <v>0</v>
      </c>
      <c r="N4" s="14">
        <f t="shared" si="0"/>
        <v>4352.6484911952803</v>
      </c>
      <c r="O4" s="14">
        <f t="shared" si="2"/>
        <v>1031.3544844704136</v>
      </c>
      <c r="P4" s="14">
        <f t="shared" si="1"/>
        <v>2519.5089011829541</v>
      </c>
      <c r="Q4" s="14">
        <f t="shared" ref="Q4:Q44" si="6">SQRT(M4^2+P4^2)</f>
        <v>2519.5089011829541</v>
      </c>
      <c r="R4" s="7">
        <f>M4/SQRT(M4^2+P4^2)</f>
        <v>0</v>
      </c>
    </row>
    <row r="5" spans="1:19" ht="16.5" thickTop="1" thickBot="1">
      <c r="A5" s="3" t="s">
        <v>1</v>
      </c>
      <c r="B5" s="6">
        <f>Capability!B5</f>
        <v>50</v>
      </c>
      <c r="C5" s="1" t="s">
        <v>32</v>
      </c>
      <c r="D5" s="1">
        <f>2*PI()*B5</f>
        <v>314.15926535897933</v>
      </c>
      <c r="F5" s="16"/>
      <c r="H5" s="33">
        <f>'V_1,1pu_DIG'!H5</f>
        <v>221434.52849412672</v>
      </c>
      <c r="I5" s="8">
        <f t="shared" si="3"/>
        <v>4346411.3700019009</v>
      </c>
      <c r="J5" s="12">
        <f t="shared" si="4"/>
        <v>714.0920794619326</v>
      </c>
      <c r="K5" s="1">
        <f t="shared" si="5"/>
        <v>2518527.0194300702</v>
      </c>
      <c r="L5" s="1">
        <f t="shared" ref="L5:L44" si="7">IF(ABS(I5)&lt;ABS(K5),I5,K5)</f>
        <v>2518527.0194300702</v>
      </c>
      <c r="M5" s="14">
        <f t="shared" si="0"/>
        <v>221.43452849412671</v>
      </c>
      <c r="N5" s="14">
        <f t="shared" si="0"/>
        <v>4346.4113700019007</v>
      </c>
      <c r="O5" s="14">
        <f t="shared" si="2"/>
        <v>1031.1516736305634</v>
      </c>
      <c r="P5" s="14">
        <f t="shared" si="1"/>
        <v>2518.5270194300701</v>
      </c>
      <c r="Q5" s="14">
        <f t="shared" si="6"/>
        <v>2528.2427885803863</v>
      </c>
      <c r="R5" s="7">
        <f t="shared" ref="R5:R44" si="8">M5/SQRT(M5^2+P5^2)</f>
        <v>8.7584360764047769E-2</v>
      </c>
    </row>
    <row r="6" spans="1:19" ht="16.5" thickTop="1" thickBot="1">
      <c r="A6" s="3" t="s">
        <v>0</v>
      </c>
      <c r="B6" s="6">
        <f>Capability!B6</f>
        <v>2700</v>
      </c>
      <c r="F6" s="16"/>
      <c r="H6" s="33">
        <f>'V_1,1pu_DIG'!H6</f>
        <v>442869.05698825343</v>
      </c>
      <c r="I6" s="8">
        <f t="shared" si="3"/>
        <v>4327640.2939492054</v>
      </c>
      <c r="J6" s="12">
        <f t="shared" si="4"/>
        <v>713.66507432010769</v>
      </c>
      <c r="K6" s="1">
        <f t="shared" si="5"/>
        <v>2515581.1424704185</v>
      </c>
      <c r="L6" s="1">
        <f t="shared" si="7"/>
        <v>2515581.1424704185</v>
      </c>
      <c r="M6" s="14">
        <f t="shared" si="0"/>
        <v>442.86905698825342</v>
      </c>
      <c r="N6" s="14">
        <f t="shared" si="0"/>
        <v>4327.6402939492054</v>
      </c>
      <c r="O6" s="14">
        <f t="shared" si="2"/>
        <v>1030.5410562777538</v>
      </c>
      <c r="P6" s="14">
        <f t="shared" si="1"/>
        <v>2515.5811424704184</v>
      </c>
      <c r="Q6" s="14">
        <f t="shared" si="6"/>
        <v>2554.2673090321696</v>
      </c>
      <c r="R6" s="7">
        <f t="shared" si="8"/>
        <v>0.17338398977359176</v>
      </c>
    </row>
    <row r="7" spans="1:19" ht="16.5" thickTop="1" thickBot="1">
      <c r="A7" s="3" t="s">
        <v>43</v>
      </c>
      <c r="B7" s="6">
        <f>Capability!B7</f>
        <v>33</v>
      </c>
      <c r="C7" s="1" t="s">
        <v>40</v>
      </c>
      <c r="D7" s="1">
        <f>B7+aux!C6</f>
        <v>44.25</v>
      </c>
      <c r="F7" s="16"/>
      <c r="H7" s="33">
        <f>'V_1,1pu_DIG'!H7</f>
        <v>664303.58548238012</v>
      </c>
      <c r="I7" s="8">
        <f t="shared" si="3"/>
        <v>4296153.2302395366</v>
      </c>
      <c r="J7" s="12">
        <f t="shared" si="4"/>
        <v>712.94823111501842</v>
      </c>
      <c r="K7" s="1">
        <f t="shared" si="5"/>
        <v>2510670.5749275293</v>
      </c>
      <c r="L7" s="1">
        <f t="shared" si="7"/>
        <v>2510670.5749275293</v>
      </c>
      <c r="M7" s="14">
        <f t="shared" si="0"/>
        <v>664.30358548238007</v>
      </c>
      <c r="N7" s="14">
        <f t="shared" si="0"/>
        <v>4296.1532302395362</v>
      </c>
      <c r="O7" s="14">
        <f t="shared" si="2"/>
        <v>1029.5159704944763</v>
      </c>
      <c r="P7" s="14">
        <f t="shared" si="1"/>
        <v>2510.6705749275293</v>
      </c>
      <c r="Q7" s="14">
        <f t="shared" si="6"/>
        <v>2597.0687302209922</v>
      </c>
      <c r="R7" s="7">
        <f t="shared" si="8"/>
        <v>0.25578975933603904</v>
      </c>
    </row>
    <row r="8" spans="1:19" ht="16.5" thickTop="1" thickBot="1">
      <c r="A8" s="3" t="s">
        <v>41</v>
      </c>
      <c r="B8" s="6">
        <f>Capability!B8</f>
        <v>951.5</v>
      </c>
      <c r="C8" s="1" t="s">
        <v>33</v>
      </c>
      <c r="D8" s="1">
        <f>IF(B8&gt;1250,1250,IF(B8&lt;B3*1.43,B3*1.43,B8))</f>
        <v>951.5</v>
      </c>
      <c r="F8" s="16"/>
      <c r="H8" s="33">
        <f>'V_1,1pu_DIG'!H8</f>
        <v>885738.11397650687</v>
      </c>
      <c r="I8" s="8">
        <f t="shared" si="3"/>
        <v>4251636.8055303274</v>
      </c>
      <c r="J8" s="12">
        <f t="shared" si="4"/>
        <v>711.93352627684999</v>
      </c>
      <c r="K8" s="1">
        <f t="shared" si="5"/>
        <v>2503794.1569283158</v>
      </c>
      <c r="L8" s="1">
        <f t="shared" si="7"/>
        <v>2503794.1569283158</v>
      </c>
      <c r="M8" s="14">
        <f t="shared" si="0"/>
        <v>885.73811397650684</v>
      </c>
      <c r="N8" s="14">
        <f t="shared" si="0"/>
        <v>4251.6368055303274</v>
      </c>
      <c r="O8" s="14">
        <f t="shared" si="2"/>
        <v>1028.0649425758954</v>
      </c>
      <c r="P8" s="14">
        <f t="shared" si="1"/>
        <v>2503.7941569283157</v>
      </c>
      <c r="Q8" s="14">
        <f t="shared" si="6"/>
        <v>2655.8458514791546</v>
      </c>
      <c r="R8" s="7">
        <f t="shared" si="8"/>
        <v>0.33350509160130709</v>
      </c>
    </row>
    <row r="9" spans="1:19" ht="16.5" thickTop="1" thickBot="1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H9" s="33">
        <f>'V_1,1pu_DIG'!H9</f>
        <v>1107172.6424706336</v>
      </c>
      <c r="I9" s="8">
        <f t="shared" si="3"/>
        <v>4193630.0873636613</v>
      </c>
      <c r="J9" s="12">
        <f t="shared" si="4"/>
        <v>710.60915037065013</v>
      </c>
      <c r="K9" s="1">
        <f t="shared" si="5"/>
        <v>2494950.2627319675</v>
      </c>
      <c r="L9" s="1">
        <f t="shared" si="7"/>
        <v>2494950.2627319675</v>
      </c>
      <c r="M9" s="14">
        <f t="shared" si="0"/>
        <v>1107.1726424706337</v>
      </c>
      <c r="N9" s="14">
        <f t="shared" si="0"/>
        <v>4193.630087363661</v>
      </c>
      <c r="O9" s="14">
        <f t="shared" si="2"/>
        <v>1026.1710850300296</v>
      </c>
      <c r="P9" s="14">
        <f t="shared" si="1"/>
        <v>2494.9502627319675</v>
      </c>
      <c r="Q9" s="14">
        <f t="shared" si="6"/>
        <v>2729.5802010092539</v>
      </c>
      <c r="R9" s="7">
        <f t="shared" si="8"/>
        <v>0.40562011772405882</v>
      </c>
    </row>
    <row r="10" spans="1:19" ht="16.5" thickTop="1" thickBot="1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1.1492499999999999</v>
      </c>
      <c r="F10" s="16"/>
      <c r="H10" s="33">
        <f>'V_1,1pu_DIG'!H10</f>
        <v>1328607.1709647602</v>
      </c>
      <c r="I10" s="8">
        <f t="shared" si="3"/>
        <v>4121499.1157566244</v>
      </c>
      <c r="J10" s="12">
        <f t="shared" si="4"/>
        <v>708.95884671213946</v>
      </c>
      <c r="K10" s="1">
        <f t="shared" si="5"/>
        <v>2484136.7988051195</v>
      </c>
      <c r="L10" s="1">
        <f t="shared" si="7"/>
        <v>2484136.7988051195</v>
      </c>
      <c r="M10" s="14">
        <f t="shared" si="0"/>
        <v>1328.6071709647601</v>
      </c>
      <c r="N10" s="14">
        <f t="shared" si="0"/>
        <v>4121.4991157566246</v>
      </c>
      <c r="O10" s="14">
        <f t="shared" si="2"/>
        <v>1023.8111507983593</v>
      </c>
      <c r="P10" s="14">
        <f t="shared" si="1"/>
        <v>2484.1367988051193</v>
      </c>
      <c r="Q10" s="14">
        <f t="shared" si="6"/>
        <v>2817.1142415451895</v>
      </c>
      <c r="R10" s="7">
        <f t="shared" si="8"/>
        <v>0.47161991209700393</v>
      </c>
    </row>
    <row r="11" spans="1:19" ht="16.5" thickTop="1" thickBot="1">
      <c r="A11" s="21" t="s">
        <v>49</v>
      </c>
      <c r="B11" s="20">
        <f>B9*B10</f>
        <v>1.2004372301587298</v>
      </c>
      <c r="F11" s="16"/>
      <c r="H11" s="33">
        <f>'V_1,1pu_DIG'!H11</f>
        <v>1550041.6994588869</v>
      </c>
      <c r="I11" s="8">
        <f t="shared" si="3"/>
        <v>4034398.662515536</v>
      </c>
      <c r="J11" s="12">
        <f t="shared" si="4"/>
        <v>706.9609177100117</v>
      </c>
      <c r="K11" s="1">
        <f t="shared" si="5"/>
        <v>2471351.2013379503</v>
      </c>
      <c r="L11" s="1">
        <f t="shared" si="7"/>
        <v>2471351.2013379503</v>
      </c>
      <c r="M11" s="14">
        <f t="shared" si="0"/>
        <v>1550.0416994588868</v>
      </c>
      <c r="N11" s="14">
        <f t="shared" si="0"/>
        <v>4034.3986625155358</v>
      </c>
      <c r="O11" s="14">
        <f t="shared" si="2"/>
        <v>1020.9541123253167</v>
      </c>
      <c r="P11" s="14">
        <f t="shared" si="1"/>
        <v>2471.3512013379504</v>
      </c>
      <c r="Q11" s="14">
        <f t="shared" si="6"/>
        <v>2917.2257421077179</v>
      </c>
      <c r="R11" s="7">
        <f t="shared" si="8"/>
        <v>0.53134101934085154</v>
      </c>
    </row>
    <row r="12" spans="1:19" ht="16.5" thickTop="1" thickBot="1">
      <c r="A12" s="3" t="s">
        <v>44</v>
      </c>
      <c r="B12" s="6">
        <f>Capability!B12</f>
        <v>-5</v>
      </c>
      <c r="C12" s="1" t="s">
        <v>39</v>
      </c>
      <c r="D12" s="1">
        <f>B12+aux!C6</f>
        <v>6.25</v>
      </c>
      <c r="F12" s="16"/>
      <c r="H12" s="33">
        <f>'V_1,1pu_DIG'!H12</f>
        <v>1771476.2279530135</v>
      </c>
      <c r="I12" s="8">
        <f t="shared" si="3"/>
        <v>3931215.279354353</v>
      </c>
      <c r="J12" s="12">
        <f t="shared" si="4"/>
        <v>704.5867439721975</v>
      </c>
      <c r="K12" s="1">
        <f t="shared" si="5"/>
        <v>2456590.4331943262</v>
      </c>
      <c r="L12" s="1">
        <f t="shared" si="7"/>
        <v>2456590.4331943262</v>
      </c>
      <c r="M12" s="14">
        <f t="shared" si="0"/>
        <v>1771.4762279530134</v>
      </c>
      <c r="N12" s="14">
        <f t="shared" si="0"/>
        <v>3931.2152793543528</v>
      </c>
      <c r="O12" s="14">
        <f t="shared" si="2"/>
        <v>1017.5590438802424</v>
      </c>
      <c r="P12" s="14">
        <f t="shared" si="1"/>
        <v>2456.5904331943261</v>
      </c>
      <c r="Q12" s="14">
        <f t="shared" si="6"/>
        <v>3028.690242112013</v>
      </c>
      <c r="R12" s="7">
        <f t="shared" si="8"/>
        <v>0.58489844993778572</v>
      </c>
    </row>
    <row r="13" spans="1:19" ht="16.5" thickTop="1" thickBot="1">
      <c r="A13" s="3" t="s">
        <v>42</v>
      </c>
      <c r="B13" s="19">
        <f>Capability!B13</f>
        <v>1130</v>
      </c>
      <c r="C13" s="1" t="s">
        <v>48</v>
      </c>
      <c r="D13" s="1">
        <f>IF(B13&gt;1250,1250,IF(B13&lt;B3*1.43,B3*1.43,B13))</f>
        <v>1130</v>
      </c>
      <c r="F13" s="16"/>
      <c r="H13" s="33">
        <f>'V_1,1pu_DIG'!H13</f>
        <v>1992910.7564471401</v>
      </c>
      <c r="I13" s="8">
        <f t="shared" si="3"/>
        <v>3810481.4485211438</v>
      </c>
      <c r="J13" s="12">
        <f t="shared" si="4"/>
        <v>701.79855025335814</v>
      </c>
      <c r="K13" s="1">
        <f t="shared" si="5"/>
        <v>2439850.9802874969</v>
      </c>
      <c r="L13" s="1">
        <f t="shared" si="7"/>
        <v>2439850.9802874969</v>
      </c>
      <c r="M13" s="14">
        <f t="shared" si="0"/>
        <v>1992.9107564471401</v>
      </c>
      <c r="N13" s="14">
        <f t="shared" si="0"/>
        <v>3810.4814485211436</v>
      </c>
      <c r="O13" s="14">
        <f t="shared" si="2"/>
        <v>1013.5719268623021</v>
      </c>
      <c r="P13" s="14">
        <f t="shared" si="1"/>
        <v>2439.8509802874969</v>
      </c>
      <c r="Q13" s="14">
        <f t="shared" si="6"/>
        <v>3150.3279335924017</v>
      </c>
      <c r="R13" s="7">
        <f t="shared" si="8"/>
        <v>0.63260422357826462</v>
      </c>
    </row>
    <row r="14" spans="1:19" ht="16.5" thickTop="1" thickBot="1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H14" s="33">
        <f>'V_1,1pu_DIG'!H14</f>
        <v>2214345.2849412668</v>
      </c>
      <c r="I14" s="8">
        <f t="shared" si="3"/>
        <v>3670242.7053097384</v>
      </c>
      <c r="J14" s="12">
        <f t="shared" si="4"/>
        <v>698.54594467214486</v>
      </c>
      <c r="K14" s="1">
        <f t="shared" si="5"/>
        <v>2421128.8473711899</v>
      </c>
      <c r="L14" s="1">
        <f t="shared" si="7"/>
        <v>2421128.8473711899</v>
      </c>
      <c r="M14" s="14">
        <f t="shared" si="0"/>
        <v>2214.345284941267</v>
      </c>
      <c r="N14" s="14">
        <f t="shared" si="0"/>
        <v>3670.2427053097385</v>
      </c>
      <c r="O14" s="14">
        <f t="shared" si="2"/>
        <v>1008.9207008811671</v>
      </c>
      <c r="P14" s="14">
        <f t="shared" si="1"/>
        <v>2421.1288473711897</v>
      </c>
      <c r="Q14" s="14">
        <f t="shared" si="6"/>
        <v>3281.0348880367865</v>
      </c>
      <c r="R14" s="7">
        <f t="shared" si="8"/>
        <v>0.67489233138457261</v>
      </c>
    </row>
    <row r="15" spans="1:19" ht="16.5" thickTop="1" thickBot="1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H15" s="33">
        <f>'V_1,1pu_DIG'!H15</f>
        <v>2435779.8134353934</v>
      </c>
      <c r="I15" s="8">
        <f t="shared" si="3"/>
        <v>3507843.720350014</v>
      </c>
      <c r="J15" s="12">
        <f t="shared" si="4"/>
        <v>694.76034231011818</v>
      </c>
      <c r="K15" s="1">
        <f t="shared" si="5"/>
        <v>2400419.5532342903</v>
      </c>
      <c r="L15" s="1">
        <f t="shared" si="7"/>
        <v>2400419.5532342903</v>
      </c>
      <c r="M15" s="14">
        <f t="shared" si="0"/>
        <v>2435.7798134353934</v>
      </c>
      <c r="N15" s="14">
        <f t="shared" si="0"/>
        <v>3507.8437203500139</v>
      </c>
      <c r="O15" s="14">
        <f t="shared" si="2"/>
        <v>1003.507289503469</v>
      </c>
      <c r="P15" s="14">
        <f t="shared" si="1"/>
        <v>2400.4195532342901</v>
      </c>
      <c r="Q15" s="14">
        <f t="shared" si="6"/>
        <v>3419.8007735961564</v>
      </c>
      <c r="R15" s="7">
        <f t="shared" si="8"/>
        <v>0.71225781111044162</v>
      </c>
    </row>
    <row r="16" spans="1:19" ht="16.5" thickTop="1" thickBot="1">
      <c r="A16" s="21" t="s">
        <v>50</v>
      </c>
      <c r="B16" s="20">
        <f>B14*B15</f>
        <v>1.1831619047619049</v>
      </c>
      <c r="F16" s="16"/>
      <c r="H16" s="33">
        <f>'V_1,1pu_DIG'!H16</f>
        <v>2657214.34192952</v>
      </c>
      <c r="I16" s="8">
        <f t="shared" si="3"/>
        <v>3319565.0010552029</v>
      </c>
      <c r="J16" s="12">
        <f t="shared" si="4"/>
        <v>690.34548614458208</v>
      </c>
      <c r="K16" s="1">
        <f t="shared" si="5"/>
        <v>2377718.1252854671</v>
      </c>
      <c r="L16" s="1">
        <f t="shared" si="7"/>
        <v>2377718.1252854671</v>
      </c>
      <c r="M16" s="14">
        <f t="shared" si="0"/>
        <v>2657.2143419295198</v>
      </c>
      <c r="N16" s="14">
        <f t="shared" si="0"/>
        <v>3319.5650010552031</v>
      </c>
      <c r="O16" s="14">
        <f t="shared" si="2"/>
        <v>997.19404518675231</v>
      </c>
      <c r="P16" s="14">
        <f t="shared" si="1"/>
        <v>2377.7181252854671</v>
      </c>
      <c r="Q16" s="14">
        <f t="shared" si="6"/>
        <v>3565.7161331585226</v>
      </c>
      <c r="R16" s="7">
        <f t="shared" si="8"/>
        <v>0.74521196940479695</v>
      </c>
    </row>
    <row r="17" spans="1:18" ht="16.5" thickTop="1" thickBot="1">
      <c r="A17" s="21"/>
      <c r="B17" s="20"/>
      <c r="F17" s="16"/>
      <c r="H17" s="33">
        <f>'V_1,1pu_DIG'!H17</f>
        <v>2878648.8704236466</v>
      </c>
      <c r="I17" s="8">
        <f t="shared" si="3"/>
        <v>3099960.0934163006</v>
      </c>
      <c r="J17" s="12">
        <f t="shared" si="4"/>
        <v>685.16013763037188</v>
      </c>
      <c r="K17" s="1">
        <f t="shared" si="5"/>
        <v>2353019.0935124019</v>
      </c>
      <c r="L17" s="1">
        <f t="shared" si="7"/>
        <v>2353019.0935124019</v>
      </c>
      <c r="M17" s="14">
        <f t="shared" si="0"/>
        <v>2878.6488704236467</v>
      </c>
      <c r="N17" s="14">
        <f t="shared" si="0"/>
        <v>3099.9600934163004</v>
      </c>
      <c r="O17" s="14">
        <f t="shared" si="2"/>
        <v>989.77899681143174</v>
      </c>
      <c r="P17" s="14">
        <f t="shared" si="1"/>
        <v>2353.0190935124019</v>
      </c>
      <c r="Q17" s="14">
        <f t="shared" si="6"/>
        <v>3717.9723201800821</v>
      </c>
      <c r="R17" s="7">
        <f t="shared" si="8"/>
        <v>0.77425236729148583</v>
      </c>
    </row>
    <row r="18" spans="1:18" ht="20.25" thickTop="1" thickBot="1">
      <c r="A18" s="23" t="s">
        <v>53</v>
      </c>
      <c r="B18" s="24">
        <f>MIN(B16,B11)</f>
        <v>1.1831619047619049</v>
      </c>
      <c r="F18" s="16"/>
      <c r="H18" s="33">
        <f>'V_1,1pu_DIG'!H18</f>
        <v>3100083.3989177733</v>
      </c>
      <c r="I18" s="8">
        <f t="shared" si="3"/>
        <v>2840521.9451957438</v>
      </c>
      <c r="J18" s="12">
        <f t="shared" si="4"/>
        <v>678.98321580817799</v>
      </c>
      <c r="K18" s="1">
        <f t="shared" si="5"/>
        <v>2326316.4837982189</v>
      </c>
      <c r="L18" s="1">
        <f t="shared" si="7"/>
        <v>2326316.4837982189</v>
      </c>
      <c r="M18" s="14">
        <f t="shared" si="0"/>
        <v>3100.0833989177731</v>
      </c>
      <c r="N18" s="14">
        <f t="shared" si="0"/>
        <v>2840.5219451957437</v>
      </c>
      <c r="O18" s="14">
        <f t="shared" si="2"/>
        <v>980.94599860569451</v>
      </c>
      <c r="P18" s="14">
        <f t="shared" si="1"/>
        <v>2326.316483798219</v>
      </c>
      <c r="Q18" s="14">
        <f t="shared" si="6"/>
        <v>3875.8567392302934</v>
      </c>
      <c r="R18" s="7">
        <f t="shared" si="8"/>
        <v>0.79984468144542897</v>
      </c>
    </row>
    <row r="19" spans="1:18" ht="16.5" thickTop="1" thickBot="1">
      <c r="A19" s="21"/>
      <c r="B19" s="20"/>
      <c r="F19" s="16"/>
      <c r="H19" s="33">
        <f>'V_1,1pu_DIG'!H19</f>
        <v>3321517.9274118999</v>
      </c>
      <c r="I19" s="8">
        <f t="shared" si="3"/>
        <v>2526593.0796631295</v>
      </c>
      <c r="J19" s="12">
        <f t="shared" si="4"/>
        <v>671.43295592130539</v>
      </c>
      <c r="K19" s="1">
        <f t="shared" si="5"/>
        <v>2297603.8105758363</v>
      </c>
      <c r="L19" s="1">
        <f t="shared" si="7"/>
        <v>2297603.8105758363</v>
      </c>
      <c r="M19" s="14">
        <f t="shared" si="0"/>
        <v>3321.5179274119</v>
      </c>
      <c r="N19" s="14">
        <f t="shared" si="0"/>
        <v>2526.5930796631296</v>
      </c>
      <c r="O19" s="14">
        <f t="shared" si="2"/>
        <v>970.14912696746671</v>
      </c>
      <c r="P19" s="14">
        <f t="shared" si="1"/>
        <v>2297.6038105758362</v>
      </c>
      <c r="Q19" s="14">
        <f t="shared" si="6"/>
        <v>4038.7454255611665</v>
      </c>
      <c r="R19" s="7">
        <f t="shared" si="8"/>
        <v>0.82241329359113768</v>
      </c>
    </row>
    <row r="20" spans="1:18" ht="16.5" thickTop="1" thickBot="1">
      <c r="A20" s="21" t="s">
        <v>36</v>
      </c>
      <c r="B20" s="4">
        <f>(D8-10)/1.43</f>
        <v>658.39160839160843</v>
      </c>
      <c r="F20" s="16"/>
      <c r="H20" s="33">
        <f>'V_1,1pu_DIG'!H20</f>
        <v>3542952.4559060265</v>
      </c>
      <c r="I20" s="8">
        <f t="shared" si="3"/>
        <v>2128415.3614969072</v>
      </c>
      <c r="J20" s="12">
        <f t="shared" si="4"/>
        <v>661.73252170919886</v>
      </c>
      <c r="K20" s="1">
        <f t="shared" si="5"/>
        <v>2266874.0687988186</v>
      </c>
      <c r="L20" s="1">
        <f t="shared" si="7"/>
        <v>2128415.3614969072</v>
      </c>
      <c r="M20" s="14">
        <f t="shared" si="0"/>
        <v>3542.9524559060264</v>
      </c>
      <c r="N20" s="14">
        <f t="shared" si="0"/>
        <v>2128.4153614969073</v>
      </c>
      <c r="O20" s="14">
        <f t="shared" si="2"/>
        <v>956.27750604415428</v>
      </c>
      <c r="P20" s="14">
        <f t="shared" si="1"/>
        <v>2128.4153614969073</v>
      </c>
      <c r="Q20" s="14">
        <f t="shared" si="6"/>
        <v>4133.1179581360311</v>
      </c>
      <c r="R20" s="7">
        <f t="shared" si="8"/>
        <v>0.85721058333980871</v>
      </c>
    </row>
    <row r="21" spans="1:18" ht="16.5" thickTop="1" thickBot="1">
      <c r="A21" s="21" t="s">
        <v>34</v>
      </c>
      <c r="B21" s="5">
        <f>IF(B25=1,(IF(B9*B10&gt;B18,B18,B9*B10))*Ii_r,B26)</f>
        <v>1242.3200000000002</v>
      </c>
      <c r="F21" s="16"/>
      <c r="H21" s="33">
        <f>'V_1,1pu_DIG'!H21</f>
        <v>3598311.0880295583</v>
      </c>
      <c r="I21" s="8">
        <f t="shared" si="3"/>
        <v>2008599.125235517</v>
      </c>
      <c r="J21" s="12">
        <f t="shared" si="4"/>
        <v>658.78559326861057</v>
      </c>
      <c r="K21" s="1">
        <f t="shared" si="5"/>
        <v>2258875.5953271752</v>
      </c>
      <c r="L21" s="1">
        <f t="shared" si="7"/>
        <v>2008599.125235517</v>
      </c>
      <c r="M21" s="14">
        <f t="shared" si="0"/>
        <v>3598.3110880295585</v>
      </c>
      <c r="N21" s="14">
        <f t="shared" si="0"/>
        <v>2008.599125235517</v>
      </c>
      <c r="O21" s="14">
        <f t="shared" si="2"/>
        <v>952.06339837411304</v>
      </c>
      <c r="P21" s="14">
        <f t="shared" si="1"/>
        <v>2008.599125235517</v>
      </c>
      <c r="Q21" s="14">
        <f t="shared" si="6"/>
        <v>4120.9602196737287</v>
      </c>
      <c r="R21" s="7">
        <f t="shared" si="8"/>
        <v>0.87317297334028854</v>
      </c>
    </row>
    <row r="22" spans="1:18" ht="20.25" thickTop="1" thickBot="1">
      <c r="A22" s="21" t="s">
        <v>59</v>
      </c>
      <c r="B22" s="1">
        <f>Nm*SQRT(3)*B3*Ii/K_3^2</f>
        <v>3945560.6895317123</v>
      </c>
      <c r="C22" s="25" t="s">
        <v>74</v>
      </c>
      <c r="D22" s="26">
        <f>B22/1000</f>
        <v>3945.5606895317123</v>
      </c>
      <c r="F22" s="16"/>
      <c r="H22" s="33">
        <f>'V_1,1pu_DIG'!H22</f>
        <v>3653669.7201530901</v>
      </c>
      <c r="I22" s="8">
        <f t="shared" si="3"/>
        <v>1876884.14958044</v>
      </c>
      <c r="J22" s="12">
        <f t="shared" si="4"/>
        <v>655.53072410063692</v>
      </c>
      <c r="K22" s="1">
        <f t="shared" si="5"/>
        <v>2250750.4639451439</v>
      </c>
      <c r="L22" s="1">
        <f t="shared" si="7"/>
        <v>1876884.14958044</v>
      </c>
      <c r="M22" s="14">
        <f t="shared" si="0"/>
        <v>3653.6697201530901</v>
      </c>
      <c r="N22" s="14">
        <f t="shared" si="0"/>
        <v>1876.88414958044</v>
      </c>
      <c r="O22" s="14">
        <f t="shared" si="2"/>
        <v>947.40893546391078</v>
      </c>
      <c r="P22" s="14">
        <f t="shared" si="1"/>
        <v>1876.88414958044</v>
      </c>
      <c r="Q22" s="14">
        <f t="shared" si="6"/>
        <v>4107.5535948919587</v>
      </c>
      <c r="R22" s="7">
        <f t="shared" si="8"/>
        <v>0.8895001941536913</v>
      </c>
    </row>
    <row r="23" spans="1:18" ht="20.25" thickTop="1" thickBot="1">
      <c r="A23" s="21" t="s">
        <v>51</v>
      </c>
      <c r="B23" s="1">
        <f>B3*Ii*SQRT(3)*Nm</f>
        <v>3922230.6056572469</v>
      </c>
      <c r="C23" s="25" t="s">
        <v>52</v>
      </c>
      <c r="D23" s="26">
        <f>B23/1000</f>
        <v>3922.230605657247</v>
      </c>
      <c r="F23" s="16"/>
      <c r="H23" s="33">
        <f>'V_1,1pu_DIG'!H23</f>
        <v>3709028.3522766219</v>
      </c>
      <c r="I23" s="8">
        <f t="shared" si="3"/>
        <v>1729688.7382800146</v>
      </c>
      <c r="J23" s="12">
        <f t="shared" si="4"/>
        <v>651.87408183652701</v>
      </c>
      <c r="K23" s="1">
        <f t="shared" si="5"/>
        <v>2242498.5496213809</v>
      </c>
      <c r="L23" s="1">
        <f t="shared" si="7"/>
        <v>1729688.7382800146</v>
      </c>
      <c r="M23" s="14">
        <f t="shared" si="0"/>
        <v>3709.0283522766217</v>
      </c>
      <c r="N23" s="14">
        <f t="shared" si="0"/>
        <v>1729.6887382800146</v>
      </c>
      <c r="O23" s="14">
        <f t="shared" si="2"/>
        <v>942.17993702623357</v>
      </c>
      <c r="P23" s="14">
        <f t="shared" si="1"/>
        <v>1729.6887382800146</v>
      </c>
      <c r="Q23" s="14">
        <f t="shared" si="6"/>
        <v>4092.5193279109312</v>
      </c>
      <c r="R23" s="7">
        <f t="shared" si="8"/>
        <v>0.90629464520328451</v>
      </c>
    </row>
    <row r="24" spans="1:18" ht="16.5" thickTop="1" thickBot="1">
      <c r="A24" s="27"/>
      <c r="F24" s="16"/>
      <c r="H24" s="33">
        <f>'V_1,1pu_DIG'!H24</f>
        <v>3764386.9844001536</v>
      </c>
      <c r="I24" s="8">
        <f t="shared" si="3"/>
        <v>1561043.9782089861</v>
      </c>
      <c r="J24" s="12">
        <f t="shared" si="4"/>
        <v>647.65921633993901</v>
      </c>
      <c r="K24" s="1">
        <f t="shared" si="5"/>
        <v>2234119.7252050862</v>
      </c>
      <c r="L24" s="1">
        <f t="shared" si="7"/>
        <v>1561043.9782089861</v>
      </c>
      <c r="M24" s="14">
        <f t="shared" si="0"/>
        <v>3764.3869844001538</v>
      </c>
      <c r="N24" s="14">
        <f t="shared" si="0"/>
        <v>1561.0439782089861</v>
      </c>
      <c r="O24" s="14">
        <f t="shared" si="2"/>
        <v>936.15267936611269</v>
      </c>
      <c r="P24" s="14">
        <f t="shared" si="1"/>
        <v>1561.0439782089861</v>
      </c>
      <c r="Q24" s="14">
        <f t="shared" si="6"/>
        <v>4075.226088234102</v>
      </c>
      <c r="R24" s="7">
        <f t="shared" si="8"/>
        <v>0.92372469720602846</v>
      </c>
    </row>
    <row r="25" spans="1:18" ht="16.5" thickTop="1" thickBot="1">
      <c r="A25" s="3" t="s">
        <v>38</v>
      </c>
      <c r="B25" s="6">
        <f>Capability!B25</f>
        <v>1</v>
      </c>
      <c r="F25" s="16"/>
      <c r="H25" s="33">
        <f>'V_1,1pu_DIG'!H25</f>
        <v>3819745.6165236854</v>
      </c>
      <c r="I25" s="8">
        <f t="shared" si="3"/>
        <v>1359483.8665860649</v>
      </c>
      <c r="J25" s="12">
        <f t="shared" si="4"/>
        <v>642.5854460703772</v>
      </c>
      <c r="K25" s="1">
        <f t="shared" si="5"/>
        <v>2225613.8614159143</v>
      </c>
      <c r="L25" s="1">
        <f t="shared" si="7"/>
        <v>1359483.8665860649</v>
      </c>
      <c r="M25" s="14">
        <f t="shared" si="0"/>
        <v>3819.7456165236854</v>
      </c>
      <c r="N25" s="14">
        <f t="shared" si="0"/>
        <v>1359.483866586065</v>
      </c>
      <c r="O25" s="14">
        <f t="shared" si="2"/>
        <v>928.89718788063931</v>
      </c>
      <c r="P25" s="14">
        <f t="shared" si="1"/>
        <v>1359.483866586065</v>
      </c>
      <c r="Q25" s="14">
        <f t="shared" si="6"/>
        <v>4054.4608714920046</v>
      </c>
      <c r="R25" s="7">
        <f t="shared" si="8"/>
        <v>0.94210937966656316</v>
      </c>
    </row>
    <row r="26" spans="1:18" ht="16.5" thickTop="1" thickBot="1">
      <c r="A26" s="3" t="s">
        <v>25</v>
      </c>
      <c r="B26" s="6">
        <f>Capability!B26</f>
        <v>1250</v>
      </c>
      <c r="F26" s="16"/>
      <c r="H26" s="33">
        <f>'V_1,1pu_DIG'!H26</f>
        <v>3875104.2486472172</v>
      </c>
      <c r="I26" s="8">
        <f t="shared" si="3"/>
        <v>1096240.4000032083</v>
      </c>
      <c r="J26" s="12">
        <f t="shared" si="4"/>
        <v>635.8979925752659</v>
      </c>
      <c r="K26" s="1">
        <f t="shared" si="5"/>
        <v>2216980.8268337091</v>
      </c>
      <c r="L26" s="1">
        <f t="shared" si="7"/>
        <v>1096240.4000032083</v>
      </c>
      <c r="M26" s="14">
        <f t="shared" si="0"/>
        <v>3875.104248647217</v>
      </c>
      <c r="N26" s="14">
        <f t="shared" si="0"/>
        <v>1096.2404000032084</v>
      </c>
      <c r="O26" s="14">
        <f t="shared" si="2"/>
        <v>919.33412938263018</v>
      </c>
      <c r="P26" s="14">
        <f t="shared" si="1"/>
        <v>1096.2404000032084</v>
      </c>
      <c r="Q26" s="14">
        <f t="shared" si="6"/>
        <v>4027.1796523724774</v>
      </c>
      <c r="R26" s="7">
        <f t="shared" si="8"/>
        <v>0.96223774034126575</v>
      </c>
    </row>
    <row r="27" spans="1:18" ht="16.5" thickTop="1" thickBot="1">
      <c r="A27" s="27"/>
      <c r="F27" s="16"/>
      <c r="H27" s="33">
        <f>'V_1,1pu_DIG'!H27</f>
        <v>3930462.8807707489</v>
      </c>
      <c r="I27" s="8">
        <f t="shared" si="3"/>
        <v>582661.67543191626</v>
      </c>
      <c r="J27" s="12">
        <f t="shared" si="4"/>
        <v>622.64428156869667</v>
      </c>
      <c r="K27" s="1">
        <f t="shared" si="5"/>
        <v>2208220.4878880326</v>
      </c>
      <c r="L27" s="1">
        <f t="shared" si="7"/>
        <v>582661.67543191626</v>
      </c>
      <c r="M27" s="14">
        <f t="shared" si="0"/>
        <v>3930.4628807707491</v>
      </c>
      <c r="N27" s="14">
        <f t="shared" si="0"/>
        <v>582.66167543191625</v>
      </c>
      <c r="O27" s="14">
        <f t="shared" si="2"/>
        <v>900.38132264323622</v>
      </c>
      <c r="P27" s="14">
        <f t="shared" si="1"/>
        <v>582.66167543191625</v>
      </c>
      <c r="Q27" s="14">
        <f t="shared" si="6"/>
        <v>3973.4157956516233</v>
      </c>
      <c r="R27" s="7">
        <f t="shared" si="8"/>
        <v>0.98918992698225028</v>
      </c>
    </row>
    <row r="28" spans="1:18" ht="16.5" thickTop="1" thickBot="1">
      <c r="A28" s="27" t="s">
        <v>73</v>
      </c>
      <c r="F28" s="16"/>
      <c r="H28" s="33">
        <f>'V_1,1pu_DIG'!H28</f>
        <v>3985821.5128942807</v>
      </c>
      <c r="I28" s="8">
        <f t="shared" si="3"/>
        <v>418770.13860741816</v>
      </c>
      <c r="J28" s="12">
        <f t="shared" si="4"/>
        <v>618.59117559661172</v>
      </c>
      <c r="K28" s="1">
        <f t="shared" si="5"/>
        <v>2199332.7088475106</v>
      </c>
      <c r="L28" s="1">
        <f t="shared" si="7"/>
        <v>418770.13860741816</v>
      </c>
      <c r="M28" s="14">
        <f t="shared" si="0"/>
        <v>3985.8215128942807</v>
      </c>
      <c r="N28" s="14">
        <f t="shared" si="0"/>
        <v>418.77013860741818</v>
      </c>
      <c r="O28" s="14">
        <f t="shared" si="2"/>
        <v>894.58538110315476</v>
      </c>
      <c r="P28" s="14">
        <f t="shared" si="1"/>
        <v>418.77013860741818</v>
      </c>
      <c r="Q28" s="14">
        <f t="shared" si="6"/>
        <v>4007.760167679714</v>
      </c>
      <c r="R28" s="7">
        <f t="shared" si="8"/>
        <v>0.99452595617812767</v>
      </c>
    </row>
    <row r="29" spans="1:18" ht="16.5" thickTop="1" thickBot="1">
      <c r="A29" s="3" t="s">
        <v>54</v>
      </c>
      <c r="B29" s="6">
        <f>Capability!B29</f>
        <v>2846</v>
      </c>
      <c r="C29" s="2">
        <f>IF(B29&gt;D23,D23,B29)</f>
        <v>2846</v>
      </c>
      <c r="F29" s="16"/>
      <c r="H29" s="33">
        <f>'V_1,1pu_DIG'!H29</f>
        <v>4041180.1450178125</v>
      </c>
      <c r="I29" s="8">
        <f t="shared" si="3"/>
        <v>418770.13860741816</v>
      </c>
      <c r="J29" s="12">
        <f t="shared" si="4"/>
        <v>618.84617602923674</v>
      </c>
      <c r="K29" s="1">
        <f t="shared" si="5"/>
        <v>2190317.3518089708</v>
      </c>
      <c r="L29" s="1">
        <f t="shared" si="7"/>
        <v>418770.13860741816</v>
      </c>
      <c r="M29" s="14">
        <f t="shared" si="0"/>
        <v>4041.1801450178127</v>
      </c>
      <c r="N29" s="14">
        <f t="shared" si="0"/>
        <v>418.77013860741818</v>
      </c>
      <c r="O29" s="14">
        <f t="shared" si="2"/>
        <v>894.9500317218085</v>
      </c>
      <c r="P29" s="14">
        <f t="shared" si="1"/>
        <v>418.77013860741818</v>
      </c>
      <c r="Q29" s="14">
        <f t="shared" si="6"/>
        <v>4062.819881987813</v>
      </c>
      <c r="R29" s="7">
        <f t="shared" si="8"/>
        <v>0.99467371490773238</v>
      </c>
    </row>
    <row r="30" spans="1:18" ht="16.5" thickTop="1" thickBot="1">
      <c r="A30" s="27"/>
      <c r="B30" s="1" t="s">
        <v>69</v>
      </c>
      <c r="C30" s="1">
        <f xml:space="preserve"> Nm/1000*(-SQRT(3/K_3^2*Ii^2*B3^2-($C$29*1000/Nm)^2)+B3^2*K_4/K_3)</f>
        <v>-2297.0507120672714</v>
      </c>
      <c r="F30" s="16"/>
      <c r="H30" s="33">
        <f>'V_1,1pu_DIG'!H30</f>
        <v>4096538.7771413443</v>
      </c>
      <c r="I30" s="8">
        <f t="shared" si="3"/>
        <v>418770.13860741816</v>
      </c>
      <c r="J30" s="12">
        <f t="shared" si="4"/>
        <v>619.10458649509428</v>
      </c>
      <c r="K30" s="1">
        <f t="shared" si="5"/>
        <v>2181174.2766863862</v>
      </c>
      <c r="L30" s="1">
        <f t="shared" si="7"/>
        <v>418770.13860741816</v>
      </c>
      <c r="M30" s="14">
        <f t="shared" si="0"/>
        <v>4096.5387771413443</v>
      </c>
      <c r="N30" s="14">
        <f t="shared" si="0"/>
        <v>418.77013860741818</v>
      </c>
      <c r="O30" s="14">
        <f t="shared" si="2"/>
        <v>895.3195586879848</v>
      </c>
      <c r="P30" s="14">
        <f t="shared" si="1"/>
        <v>418.77013860741818</v>
      </c>
      <c r="Q30" s="14">
        <f t="shared" si="6"/>
        <v>4117.8876115809644</v>
      </c>
      <c r="R30" s="7">
        <f t="shared" si="8"/>
        <v>0.99481558593790187</v>
      </c>
    </row>
    <row r="31" spans="1:18" ht="16.5" thickTop="1" thickBot="1">
      <c r="A31" s="27"/>
      <c r="B31" s="1" t="s">
        <v>68</v>
      </c>
      <c r="C31" s="1">
        <f>IF(ABS( Nm/1000*(SQRT(3/K_3^2*Ii^2*B3^2-($C$29*1000/Nm)^2)+B3^2*K_4/K_3))&lt;ABS(Nm/1000*(SQRT(Vi^2*B3^2/K_2^2-($C$29*1000/Nm)^2)-B3^2*K_1/K_2)),Nm/1000*(SQRT(3/K_3^2*Ii^2*B3^2-($C$29*1000/Nm)^2)+B3^2*K_4/K_3), Nm/1000*(SQRT(Vi^2*B3^2/K_2^2-($C$29*1000/Nm)^2)-B3^2*K_1/K_2))</f>
        <v>2356.7865604627327</v>
      </c>
      <c r="F31" s="16"/>
      <c r="H31" s="33">
        <f>'V_1,1pu_DIG'!H31</f>
        <v>4151897.409264876</v>
      </c>
      <c r="I31" s="8">
        <f t="shared" si="3"/>
        <v>418770.13860741816</v>
      </c>
      <c r="J31" s="12">
        <f t="shared" si="4"/>
        <v>619.36640272600812</v>
      </c>
      <c r="K31" s="1">
        <f t="shared" si="5"/>
        <v>2171903.3411996244</v>
      </c>
      <c r="L31" s="1">
        <f t="shared" si="7"/>
        <v>418770.13860741816</v>
      </c>
      <c r="M31" s="14">
        <f t="shared" si="0"/>
        <v>4151.8974092648759</v>
      </c>
      <c r="N31" s="14">
        <f t="shared" si="0"/>
        <v>418.77013860741818</v>
      </c>
      <c r="O31" s="14">
        <f t="shared" si="2"/>
        <v>895.69395589819158</v>
      </c>
      <c r="P31" s="14">
        <f t="shared" si="1"/>
        <v>418.77013860741818</v>
      </c>
      <c r="Q31" s="14">
        <f t="shared" si="6"/>
        <v>4172.9630391425308</v>
      </c>
      <c r="R31" s="7">
        <f t="shared" si="8"/>
        <v>0.99495187719611733</v>
      </c>
    </row>
    <row r="32" spans="1:18" ht="16.5" thickTop="1" thickBot="1">
      <c r="A32" s="3" t="s">
        <v>55</v>
      </c>
      <c r="B32" s="6">
        <f>Capability!B32</f>
        <v>0</v>
      </c>
      <c r="C32" s="2">
        <f>IF(B32&lt;C30,C30,IF(B32&gt;C31,C31,B32))</f>
        <v>0</v>
      </c>
      <c r="F32" s="16"/>
      <c r="H32" s="33">
        <f>'V_1,1pu_DIG'!H32</f>
        <v>4207256.0413884073</v>
      </c>
      <c r="I32" s="8">
        <f t="shared" si="3"/>
        <v>418770.13860741816</v>
      </c>
      <c r="J32" s="12">
        <f t="shared" si="4"/>
        <v>619.63162040481052</v>
      </c>
      <c r="K32" s="1">
        <f t="shared" si="5"/>
        <v>2162504.4008629667</v>
      </c>
      <c r="L32" s="1">
        <f t="shared" si="7"/>
        <v>418770.13860741816</v>
      </c>
      <c r="M32" s="14">
        <f t="shared" si="0"/>
        <v>4207.2560413884075</v>
      </c>
      <c r="N32" s="14">
        <f t="shared" si="0"/>
        <v>418.77013860741818</v>
      </c>
      <c r="O32" s="14">
        <f t="shared" si="2"/>
        <v>896.07321717887896</v>
      </c>
      <c r="P32" s="14">
        <f t="shared" si="1"/>
        <v>418.77013860741818</v>
      </c>
      <c r="Q32" s="14">
        <f t="shared" si="6"/>
        <v>4228.0458638463861</v>
      </c>
      <c r="R32" s="7">
        <f t="shared" si="8"/>
        <v>0.99508287678812801</v>
      </c>
    </row>
    <row r="33" spans="1:18" ht="16.5" thickTop="1" thickBot="1">
      <c r="A33" s="21" t="s">
        <v>56</v>
      </c>
      <c r="B33" s="1">
        <f>C29/SQRT(C29^2+C32^2)</f>
        <v>1</v>
      </c>
      <c r="C33" s="1" t="s">
        <v>60</v>
      </c>
      <c r="D33" s="1">
        <f>SQRT(C29^2+C32^2)/(SQRT(3)*B3)*1000</f>
        <v>2704.3101812272466</v>
      </c>
      <c r="F33" s="16"/>
      <c r="H33" s="33">
        <f>'V_1,1pu_DIG'!H33</f>
        <v>4262614.6735119391</v>
      </c>
      <c r="I33" s="8">
        <f t="shared" si="3"/>
        <v>418770.13860741816</v>
      </c>
      <c r="J33" s="12">
        <f t="shared" si="4"/>
        <v>619.90023516568237</v>
      </c>
      <c r="K33" s="1">
        <f t="shared" si="5"/>
        <v>2152977.3089734577</v>
      </c>
      <c r="L33" s="1">
        <f t="shared" si="7"/>
        <v>418770.13860741816</v>
      </c>
      <c r="M33" s="14">
        <f t="shared" si="0"/>
        <v>4262.6146735119391</v>
      </c>
      <c r="N33" s="14">
        <f t="shared" si="0"/>
        <v>418.77013860741818</v>
      </c>
      <c r="O33" s="14">
        <f t="shared" si="2"/>
        <v>896.45733628692574</v>
      </c>
      <c r="P33" s="14">
        <f t="shared" si="1"/>
        <v>418.77013860741818</v>
      </c>
      <c r="Q33" s="14">
        <f t="shared" si="6"/>
        <v>4283.1358003019905</v>
      </c>
      <c r="R33" s="7">
        <f t="shared" si="8"/>
        <v>0.99520885450594299</v>
      </c>
    </row>
    <row r="34" spans="1:18" ht="20.25" thickTop="1" thickBot="1">
      <c r="A34" s="23" t="s">
        <v>57</v>
      </c>
      <c r="B34" s="25">
        <f>Vdc_offset+Vac_to_Vdc*SQRT(3)*SQRT(K_1^2*B3^2/3+K_2^2/3*($C$29^2+$C$32^2)*1000^2/B3^2/Nm^2+2/3*K_1*K_2*$C$32*1000/Nm)</f>
        <v>872.33720313183176</v>
      </c>
      <c r="F34" s="16"/>
      <c r="H34" s="33">
        <f>'V_1,1pu_DIG'!H34</f>
        <v>4317973.3056354709</v>
      </c>
      <c r="I34" s="8">
        <f t="shared" si="3"/>
        <v>418770.13860741816</v>
      </c>
      <c r="J34" s="12">
        <f t="shared" si="4"/>
        <v>620.17224259449631</v>
      </c>
      <c r="K34" s="1">
        <f t="shared" si="5"/>
        <v>2143321.9165990222</v>
      </c>
      <c r="L34" s="1">
        <f t="shared" si="7"/>
        <v>418770.13860741816</v>
      </c>
      <c r="M34" s="14">
        <f t="shared" si="0"/>
        <v>4317.9733056354708</v>
      </c>
      <c r="N34" s="14">
        <f t="shared" si="0"/>
        <v>418.77013860741818</v>
      </c>
      <c r="O34" s="14">
        <f t="shared" si="2"/>
        <v>896.84630691012967</v>
      </c>
      <c r="P34" s="14">
        <f t="shared" si="1"/>
        <v>418.77013860741818</v>
      </c>
      <c r="Q34" s="14">
        <f t="shared" si="6"/>
        <v>4338.2325775792369</v>
      </c>
      <c r="R34" s="7">
        <f t="shared" si="8"/>
        <v>0.99533006320397166</v>
      </c>
    </row>
    <row r="35" spans="1:18" ht="16.5" thickTop="1" thickBot="1">
      <c r="A35" s="21" t="s">
        <v>58</v>
      </c>
      <c r="B35" s="1">
        <f>SQRT(3)*SQRT(K_1^2*B3^2/3+K_2^2/3*($C$29^2+$C$32^2)*1000^2/B3^2/Nm^2+2/3*K_1*K_2*$C$32*1000/Nm)</f>
        <v>603.03300918309913</v>
      </c>
      <c r="F35" s="16"/>
      <c r="H35" s="33">
        <f>'V_1,1pu_DIG'!H35</f>
        <v>4373331.9377590027</v>
      </c>
      <c r="I35" s="8">
        <f t="shared" si="3"/>
        <v>418770.13860741816</v>
      </c>
      <c r="J35" s="12">
        <f t="shared" si="4"/>
        <v>620.44763822916354</v>
      </c>
      <c r="K35" s="1">
        <f t="shared" si="5"/>
        <v>2133538.0725663733</v>
      </c>
      <c r="L35" s="1">
        <f t="shared" si="7"/>
        <v>418770.13860741816</v>
      </c>
      <c r="M35" s="14">
        <f t="shared" si="0"/>
        <v>4373.3319377590024</v>
      </c>
      <c r="N35" s="14">
        <f t="shared" si="0"/>
        <v>418.77013860741818</v>
      </c>
      <c r="O35" s="14">
        <f t="shared" si="2"/>
        <v>897.24012266770387</v>
      </c>
      <c r="P35" s="14">
        <f t="shared" si="1"/>
        <v>418.77013860741818</v>
      </c>
      <c r="Q35" s="14">
        <f t="shared" si="6"/>
        <v>4393.3359383061279</v>
      </c>
      <c r="R35" s="7">
        <f t="shared" si="8"/>
        <v>0.99544674005629574</v>
      </c>
    </row>
    <row r="36" spans="1:18" ht="16.5" thickTop="1" thickBot="1">
      <c r="F36" s="16"/>
      <c r="H36" s="33">
        <f>'V_1,1pu_DIG'!H36</f>
        <v>4428690.5698825344</v>
      </c>
      <c r="I36" s="8">
        <f t="shared" si="3"/>
        <v>418770.13860741816</v>
      </c>
      <c r="J36" s="12">
        <f t="shared" ref="J36:J67" si="9">SQRT(3)*SQRT(($B$3/SQRT(3)*K_1+SQRT(H36^2+I36^2)/SQRT(3)/$B$3/Nm*I36/SQRT(H36^2+I36^2)*K_2)^2+(SQRT(H36^2+I36^2)/SQRT(3)/$B$3/Nm*H36/SQRT(H36^2+I36^2)*K_2)^2)</f>
        <v>620.72641755998166</v>
      </c>
      <c r="K36" s="1">
        <f t="shared" si="5"/>
        <v>2123625.6234487128</v>
      </c>
      <c r="L36" s="1">
        <f t="shared" si="7"/>
        <v>418770.13860741816</v>
      </c>
      <c r="M36" s="14">
        <f t="shared" si="0"/>
        <v>4428.6905698825349</v>
      </c>
      <c r="N36" s="14">
        <f t="shared" si="0"/>
        <v>418.77013860741818</v>
      </c>
      <c r="O36" s="14">
        <f t="shared" si="2"/>
        <v>897.63877711077373</v>
      </c>
      <c r="P36" s="14">
        <f t="shared" si="1"/>
        <v>418.77013860741818</v>
      </c>
      <c r="Q36" s="14">
        <f t="shared" si="6"/>
        <v>4448.445637833036</v>
      </c>
      <c r="R36" s="7">
        <f t="shared" si="8"/>
        <v>0.99555910770663603</v>
      </c>
    </row>
    <row r="37" spans="1:18" ht="16.5" thickTop="1" thickBot="1">
      <c r="F37" s="16"/>
      <c r="H37" s="33">
        <f>'V_1,1pu_DIG'!H37</f>
        <v>4373331.9377590027</v>
      </c>
      <c r="I37" s="8">
        <f t="shared" ref="I37:I68" si="10">Nm*(-SQRT(IF(3/K_3^2*Ii^2*$B$3^2-(H37/Nm)^2&lt;0.0000000001,0,3/K_3^2*Ii^2*$B$3^2-(H37/Nm)^2))+$B$3^2/K_3*K_4)</f>
        <v>418770.13860741816</v>
      </c>
      <c r="J37" s="12">
        <f t="shared" si="9"/>
        <v>620.44763822916354</v>
      </c>
      <c r="K37" s="1">
        <f t="shared" ref="K37:K68" si="11">Nm*(-SQRT(Vi^2*$B$3^2/K_2^2-(H37/Nm)^2)-$B$3^2*K_1/K_2)</f>
        <v>-47033542.313530713</v>
      </c>
      <c r="L37" s="1">
        <f t="shared" si="7"/>
        <v>418770.13860741816</v>
      </c>
      <c r="M37" s="14">
        <f t="shared" si="0"/>
        <v>4373.3319377590024</v>
      </c>
      <c r="N37" s="14">
        <f t="shared" si="0"/>
        <v>418.77013860741818</v>
      </c>
      <c r="O37" s="14">
        <f t="shared" si="2"/>
        <v>897.24012266770387</v>
      </c>
      <c r="P37" s="14">
        <f t="shared" si="1"/>
        <v>418.77013860741818</v>
      </c>
      <c r="Q37" s="14">
        <f t="shared" si="6"/>
        <v>4393.3359383061279</v>
      </c>
      <c r="R37" s="7">
        <f t="shared" si="8"/>
        <v>0.99544674005629574</v>
      </c>
    </row>
    <row r="38" spans="1:18" ht="16.5" thickTop="1" thickBot="1">
      <c r="F38" s="16"/>
      <c r="H38" s="33">
        <f>'V_1,1pu_DIG'!H38</f>
        <v>4317973.3056354709</v>
      </c>
      <c r="I38" s="8">
        <f t="shared" si="10"/>
        <v>418770.13860741816</v>
      </c>
      <c r="J38" s="12">
        <f t="shared" si="9"/>
        <v>620.17224259449631</v>
      </c>
      <c r="K38" s="1">
        <f t="shared" si="11"/>
        <v>-47043326.157563359</v>
      </c>
      <c r="L38" s="1">
        <f t="shared" si="7"/>
        <v>418770.13860741816</v>
      </c>
      <c r="M38" s="14">
        <f t="shared" si="0"/>
        <v>4317.9733056354708</v>
      </c>
      <c r="N38" s="14">
        <f t="shared" si="0"/>
        <v>418.77013860741818</v>
      </c>
      <c r="O38" s="14">
        <f t="shared" si="2"/>
        <v>896.84630691012967</v>
      </c>
      <c r="P38" s="14">
        <f t="shared" si="1"/>
        <v>418.77013860741818</v>
      </c>
      <c r="Q38" s="14">
        <f t="shared" si="6"/>
        <v>4338.2325775792369</v>
      </c>
      <c r="R38" s="7">
        <f t="shared" si="8"/>
        <v>0.99533006320397166</v>
      </c>
    </row>
    <row r="39" spans="1:18" ht="16.5" thickTop="1" thickBot="1">
      <c r="F39" s="16"/>
      <c r="H39" s="33">
        <f>'V_1,1pu_DIG'!H39</f>
        <v>4262614.6735119391</v>
      </c>
      <c r="I39" s="8">
        <f t="shared" si="10"/>
        <v>418770.13860741816</v>
      </c>
      <c r="J39" s="12">
        <f t="shared" si="9"/>
        <v>619.90023516568237</v>
      </c>
      <c r="K39" s="1">
        <f t="shared" si="11"/>
        <v>-47052981.5499378</v>
      </c>
      <c r="L39" s="1">
        <f t="shared" si="7"/>
        <v>418770.13860741816</v>
      </c>
      <c r="M39" s="14">
        <f t="shared" si="0"/>
        <v>4262.6146735119391</v>
      </c>
      <c r="N39" s="14">
        <f t="shared" si="0"/>
        <v>418.77013860741818</v>
      </c>
      <c r="O39" s="14">
        <f t="shared" si="2"/>
        <v>896.45733628692574</v>
      </c>
      <c r="P39" s="14">
        <f t="shared" si="1"/>
        <v>418.77013860741818</v>
      </c>
      <c r="Q39" s="14">
        <f t="shared" si="6"/>
        <v>4283.1358003019905</v>
      </c>
      <c r="R39" s="7">
        <f t="shared" si="8"/>
        <v>0.99520885450594299</v>
      </c>
    </row>
    <row r="40" spans="1:18" ht="16.5" thickTop="1" thickBot="1">
      <c r="F40" s="16"/>
      <c r="H40" s="33">
        <f>'V_1,1pu_DIG'!H40</f>
        <v>4207256.0413884073</v>
      </c>
      <c r="I40" s="8">
        <f t="shared" si="10"/>
        <v>418770.13860741816</v>
      </c>
      <c r="J40" s="12">
        <f t="shared" si="9"/>
        <v>619.63162040481052</v>
      </c>
      <c r="K40" s="1">
        <f t="shared" si="11"/>
        <v>-47062508.641827308</v>
      </c>
      <c r="L40" s="1">
        <f t="shared" si="7"/>
        <v>418770.13860741816</v>
      </c>
      <c r="M40" s="14">
        <f t="shared" si="0"/>
        <v>4207.2560413884075</v>
      </c>
      <c r="N40" s="14">
        <f t="shared" si="0"/>
        <v>418.77013860741818</v>
      </c>
      <c r="O40" s="14">
        <f t="shared" si="2"/>
        <v>896.07321717887896</v>
      </c>
      <c r="P40" s="14">
        <f t="shared" si="1"/>
        <v>418.77013860741818</v>
      </c>
      <c r="Q40" s="14">
        <f t="shared" si="6"/>
        <v>4228.0458638463861</v>
      </c>
      <c r="R40" s="7">
        <f t="shared" si="8"/>
        <v>0.99508287678812801</v>
      </c>
    </row>
    <row r="41" spans="1:18" ht="16.5" thickTop="1" thickBot="1">
      <c r="F41" s="16"/>
      <c r="H41" s="33">
        <f>'V_1,1pu_DIG'!H41</f>
        <v>4151897.4092648756</v>
      </c>
      <c r="I41" s="8">
        <f t="shared" si="10"/>
        <v>418770.13860741816</v>
      </c>
      <c r="J41" s="12">
        <f t="shared" si="9"/>
        <v>619.36640272600812</v>
      </c>
      <c r="K41" s="1">
        <f t="shared" si="11"/>
        <v>-47071907.58216396</v>
      </c>
      <c r="L41" s="1">
        <f t="shared" si="7"/>
        <v>418770.13860741816</v>
      </c>
      <c r="M41" s="14">
        <f t="shared" si="0"/>
        <v>4151.8974092648759</v>
      </c>
      <c r="N41" s="14">
        <f t="shared" si="0"/>
        <v>418.77013860741818</v>
      </c>
      <c r="O41" s="14">
        <f t="shared" si="2"/>
        <v>895.69395589819158</v>
      </c>
      <c r="P41" s="14">
        <f t="shared" si="1"/>
        <v>418.77013860741818</v>
      </c>
      <c r="Q41" s="14">
        <f t="shared" si="6"/>
        <v>4172.9630391425308</v>
      </c>
      <c r="R41" s="7">
        <f t="shared" si="8"/>
        <v>0.99495187719611733</v>
      </c>
    </row>
    <row r="42" spans="1:18" ht="16.5" thickTop="1" thickBot="1">
      <c r="F42" s="16"/>
      <c r="H42" s="33">
        <f>'V_1,1pu_DIG'!H42</f>
        <v>4096538.7771413438</v>
      </c>
      <c r="I42" s="8">
        <f t="shared" si="10"/>
        <v>418770.13860741816</v>
      </c>
      <c r="J42" s="12">
        <f t="shared" si="9"/>
        <v>619.10458649509428</v>
      </c>
      <c r="K42" s="1">
        <f t="shared" si="11"/>
        <v>-47081178.517650723</v>
      </c>
      <c r="L42" s="1">
        <f t="shared" si="7"/>
        <v>418770.13860741816</v>
      </c>
      <c r="M42" s="14">
        <f t="shared" si="0"/>
        <v>4096.5387771413434</v>
      </c>
      <c r="N42" s="14">
        <f t="shared" si="0"/>
        <v>418.77013860741818</v>
      </c>
      <c r="O42" s="14">
        <f t="shared" si="2"/>
        <v>895.3195586879848</v>
      </c>
      <c r="P42" s="14">
        <f t="shared" si="1"/>
        <v>418.77013860741818</v>
      </c>
      <c r="Q42" s="14">
        <f t="shared" si="6"/>
        <v>4117.8876115809635</v>
      </c>
      <c r="R42" s="7">
        <f t="shared" si="8"/>
        <v>0.99481558593790187</v>
      </c>
    </row>
    <row r="43" spans="1:18" ht="16.5" thickTop="1" thickBot="1">
      <c r="F43" s="16"/>
      <c r="H43" s="33">
        <f>'V_1,1pu_DIG'!H43</f>
        <v>4041180.145017812</v>
      </c>
      <c r="I43" s="8">
        <f t="shared" si="10"/>
        <v>418770.13860741816</v>
      </c>
      <c r="J43" s="12">
        <f t="shared" si="9"/>
        <v>618.84617602923674</v>
      </c>
      <c r="K43" s="1">
        <f t="shared" si="11"/>
        <v>-47090321.592773311</v>
      </c>
      <c r="L43" s="1">
        <f t="shared" si="7"/>
        <v>418770.13860741816</v>
      </c>
      <c r="M43" s="14">
        <f t="shared" si="0"/>
        <v>4041.1801450178118</v>
      </c>
      <c r="N43" s="14">
        <f t="shared" si="0"/>
        <v>418.77013860741818</v>
      </c>
      <c r="O43" s="14">
        <f t="shared" si="2"/>
        <v>894.9500317218085</v>
      </c>
      <c r="P43" s="14">
        <f t="shared" si="1"/>
        <v>418.77013860741818</v>
      </c>
      <c r="Q43" s="14">
        <f t="shared" si="6"/>
        <v>4062.8198819878121</v>
      </c>
      <c r="R43" s="7">
        <f t="shared" si="8"/>
        <v>0.99467371490773238</v>
      </c>
    </row>
    <row r="44" spans="1:18" ht="16.5" thickTop="1" thickBot="1">
      <c r="F44" s="16"/>
      <c r="H44" s="33">
        <f>'V_1,1pu_DIG'!H44</f>
        <v>3985821.5128942803</v>
      </c>
      <c r="I44" s="8">
        <f t="shared" si="10"/>
        <v>418770.13860741816</v>
      </c>
      <c r="J44" s="12">
        <f t="shared" si="9"/>
        <v>618.59117559661172</v>
      </c>
      <c r="K44" s="1">
        <f t="shared" si="11"/>
        <v>-47099336.949811846</v>
      </c>
      <c r="L44" s="1">
        <f t="shared" si="7"/>
        <v>418770.13860741816</v>
      </c>
      <c r="M44" s="14">
        <f t="shared" si="0"/>
        <v>3985.8215128942802</v>
      </c>
      <c r="N44" s="14">
        <f t="shared" si="0"/>
        <v>418.77013860741818</v>
      </c>
      <c r="O44" s="14">
        <f t="shared" si="2"/>
        <v>894.58538110315476</v>
      </c>
      <c r="P44" s="14">
        <f t="shared" si="1"/>
        <v>418.77013860741818</v>
      </c>
      <c r="Q44" s="14">
        <f t="shared" si="6"/>
        <v>4007.7601676797135</v>
      </c>
      <c r="R44" s="7">
        <f t="shared" si="8"/>
        <v>0.99452595617812767</v>
      </c>
    </row>
    <row r="45" spans="1:18" ht="16.5" thickTop="1" thickBot="1">
      <c r="F45" s="16"/>
      <c r="H45" s="33">
        <f>'V_1,1pu_DIG'!H45</f>
        <v>3930462.8807707485</v>
      </c>
      <c r="I45" s="8">
        <f t="shared" si="10"/>
        <v>254878.60178290002</v>
      </c>
      <c r="J45" s="12">
        <f t="shared" si="9"/>
        <v>614.03578236080955</v>
      </c>
      <c r="K45" s="1">
        <f t="shared" si="11"/>
        <v>-47108224.728852369</v>
      </c>
      <c r="L45" s="1">
        <f t="shared" ref="L45:L56" si="12">IF(ABS(I45)&lt;ABS(K45),I45,K45)</f>
        <v>254878.60178290002</v>
      </c>
      <c r="M45" s="14">
        <f t="shared" ref="M45:M56" si="13">H45/1000</f>
        <v>3930.4628807707486</v>
      </c>
      <c r="N45" s="14">
        <f t="shared" ref="N45:N56" si="14">I45/1000</f>
        <v>254.87860178290001</v>
      </c>
      <c r="O45" s="14">
        <f t="shared" ref="O45:O56" si="15">J45*1.43+10</f>
        <v>888.07116877595763</v>
      </c>
      <c r="P45" s="14">
        <f t="shared" ref="P45:P56" si="16">L45/1000</f>
        <v>254.87860178290001</v>
      </c>
      <c r="Q45" s="14">
        <f t="shared" ref="Q45:Q56" si="17">SQRT(M45^2+P45^2)</f>
        <v>3938.718263440976</v>
      </c>
      <c r="R45" s="7">
        <f t="shared" ref="R45:R56" si="18">M45/SQRT(M45^2+P45^2)</f>
        <v>0.99790404336688576</v>
      </c>
    </row>
    <row r="46" spans="1:18" ht="16.5" thickTop="1" thickBot="1">
      <c r="F46" s="16"/>
      <c r="H46" s="33">
        <f>'V_1,1pu_DIG'!H46</f>
        <v>3875104.2486472167</v>
      </c>
      <c r="I46" s="8">
        <f t="shared" si="10"/>
        <v>-258700.12278837172</v>
      </c>
      <c r="J46" s="12">
        <f t="shared" si="9"/>
        <v>600.29958056656824</v>
      </c>
      <c r="K46" s="1">
        <f t="shared" si="11"/>
        <v>-47116985.067798048</v>
      </c>
      <c r="L46" s="1">
        <f t="shared" si="12"/>
        <v>-258700.12278837172</v>
      </c>
      <c r="M46" s="14">
        <f t="shared" si="13"/>
        <v>3875.1042486472165</v>
      </c>
      <c r="N46" s="14">
        <f t="shared" si="14"/>
        <v>-258.70012278837174</v>
      </c>
      <c r="O46" s="14">
        <f t="shared" si="15"/>
        <v>868.42840021019254</v>
      </c>
      <c r="P46" s="14">
        <f t="shared" si="16"/>
        <v>-258.70012278837174</v>
      </c>
      <c r="Q46" s="14">
        <f t="shared" si="17"/>
        <v>3883.7299972338997</v>
      </c>
      <c r="R46" s="7">
        <f t="shared" si="18"/>
        <v>0.99777900405207709</v>
      </c>
    </row>
    <row r="47" spans="1:18" ht="16.5" thickTop="1" thickBot="1">
      <c r="F47" s="16"/>
      <c r="H47" s="33">
        <f>'V_1,1pu_DIG'!H47</f>
        <v>3819745.6165236849</v>
      </c>
      <c r="I47" s="8">
        <f t="shared" si="10"/>
        <v>-521943.58937123092</v>
      </c>
      <c r="J47" s="12">
        <f t="shared" si="9"/>
        <v>593.13555608156298</v>
      </c>
      <c r="K47" s="1">
        <f t="shared" si="11"/>
        <v>-47125618.102380246</v>
      </c>
      <c r="L47" s="1">
        <f t="shared" si="12"/>
        <v>-521943.58937123092</v>
      </c>
      <c r="M47" s="14">
        <f t="shared" si="13"/>
        <v>3819.7456165236849</v>
      </c>
      <c r="N47" s="14">
        <f t="shared" si="14"/>
        <v>-521.94358937123093</v>
      </c>
      <c r="O47" s="14">
        <f t="shared" si="15"/>
        <v>858.18384519663505</v>
      </c>
      <c r="P47" s="14">
        <f t="shared" si="16"/>
        <v>-521.94358937123093</v>
      </c>
      <c r="Q47" s="14">
        <f t="shared" si="17"/>
        <v>3855.2408077106711</v>
      </c>
      <c r="R47" s="7">
        <f t="shared" si="18"/>
        <v>0.9907930028349996</v>
      </c>
    </row>
    <row r="48" spans="1:18" ht="16.5" thickTop="1" thickBot="1">
      <c r="F48" s="16"/>
      <c r="H48" s="33">
        <f>'V_1,1pu_DIG'!H48</f>
        <v>3764386.9844001532</v>
      </c>
      <c r="I48" s="8">
        <f t="shared" si="10"/>
        <v>-723503.70099415164</v>
      </c>
      <c r="J48" s="12">
        <f t="shared" si="9"/>
        <v>587.59116984480522</v>
      </c>
      <c r="K48" s="1">
        <f t="shared" si="11"/>
        <v>-47134123.966169424</v>
      </c>
      <c r="L48" s="1">
        <f t="shared" si="12"/>
        <v>-723503.70099415164</v>
      </c>
      <c r="M48" s="14">
        <f t="shared" si="13"/>
        <v>3764.3869844001533</v>
      </c>
      <c r="N48" s="14">
        <f t="shared" si="14"/>
        <v>-723.5037009941517</v>
      </c>
      <c r="O48" s="14">
        <f t="shared" si="15"/>
        <v>850.2553728780714</v>
      </c>
      <c r="P48" s="14">
        <f t="shared" si="16"/>
        <v>-723.5037009941517</v>
      </c>
      <c r="Q48" s="14">
        <f t="shared" si="17"/>
        <v>3833.2840976991929</v>
      </c>
      <c r="R48" s="7">
        <f t="shared" si="18"/>
        <v>0.98202660915730378</v>
      </c>
    </row>
    <row r="49" spans="6:18" ht="16.5" thickTop="1" thickBot="1">
      <c r="F49" s="16"/>
      <c r="H49" s="33">
        <f>'V_1,1pu_DIG'!H49</f>
        <v>3709028.3522766214</v>
      </c>
      <c r="I49" s="8">
        <f t="shared" si="10"/>
        <v>-892148.46106517839</v>
      </c>
      <c r="J49" s="12">
        <f t="shared" si="9"/>
        <v>582.91167840371452</v>
      </c>
      <c r="K49" s="1">
        <f t="shared" si="11"/>
        <v>-47142502.790585719</v>
      </c>
      <c r="L49" s="1">
        <f t="shared" si="12"/>
        <v>-892148.46106517839</v>
      </c>
      <c r="M49" s="14">
        <f t="shared" si="13"/>
        <v>3709.0283522766213</v>
      </c>
      <c r="N49" s="14">
        <f t="shared" si="14"/>
        <v>-892.14846106517837</v>
      </c>
      <c r="O49" s="14">
        <f t="shared" si="15"/>
        <v>843.56370011731167</v>
      </c>
      <c r="P49" s="14">
        <f t="shared" si="16"/>
        <v>-892.14846106517837</v>
      </c>
      <c r="Q49" s="14">
        <f t="shared" si="17"/>
        <v>3814.81587951146</v>
      </c>
      <c r="R49" s="7">
        <f t="shared" si="18"/>
        <v>0.97226929671678253</v>
      </c>
    </row>
    <row r="50" spans="6:18" ht="16.5" thickTop="1" thickBot="1">
      <c r="F50" s="16"/>
      <c r="H50" s="33">
        <f>'V_1,1pu_DIG'!H50</f>
        <v>3653669.7201530896</v>
      </c>
      <c r="I50" s="8">
        <f t="shared" si="10"/>
        <v>-1039343.8723656053</v>
      </c>
      <c r="J50" s="12">
        <f t="shared" si="9"/>
        <v>578.79643498361759</v>
      </c>
      <c r="K50" s="1">
        <f t="shared" si="11"/>
        <v>-47150754.704909489</v>
      </c>
      <c r="L50" s="1">
        <f t="shared" si="12"/>
        <v>-1039343.8723656053</v>
      </c>
      <c r="M50" s="14">
        <f t="shared" si="13"/>
        <v>3653.6697201530897</v>
      </c>
      <c r="N50" s="14">
        <f t="shared" si="14"/>
        <v>-1039.3438723656054</v>
      </c>
      <c r="O50" s="14">
        <f t="shared" si="15"/>
        <v>837.67890202657316</v>
      </c>
      <c r="P50" s="14">
        <f t="shared" si="16"/>
        <v>-1039.3438723656054</v>
      </c>
      <c r="Q50" s="14">
        <f t="shared" si="17"/>
        <v>3798.6231859698178</v>
      </c>
      <c r="R50" s="7">
        <f t="shared" si="18"/>
        <v>0.96184052517972496</v>
      </c>
    </row>
    <row r="51" spans="6:18" ht="16.5" thickTop="1" thickBot="1">
      <c r="F51" s="16"/>
      <c r="H51" s="33">
        <f>'V_1,1pu_DIG'!H51</f>
        <v>3598311.0880295578</v>
      </c>
      <c r="I51" s="8">
        <f t="shared" si="10"/>
        <v>-1171058.8480206819</v>
      </c>
      <c r="J51" s="12">
        <f t="shared" si="9"/>
        <v>575.08902397052884</v>
      </c>
      <c r="K51" s="1">
        <f t="shared" si="11"/>
        <v>-47158879.836291507</v>
      </c>
      <c r="L51" s="1">
        <f t="shared" si="12"/>
        <v>-1171058.8480206819</v>
      </c>
      <c r="M51" s="14">
        <f t="shared" si="13"/>
        <v>3598.3110880295581</v>
      </c>
      <c r="N51" s="14">
        <f t="shared" si="14"/>
        <v>-1171.0588480206818</v>
      </c>
      <c r="O51" s="14">
        <f t="shared" si="15"/>
        <v>832.37730427785618</v>
      </c>
      <c r="P51" s="14">
        <f t="shared" si="16"/>
        <v>-1171.0588480206818</v>
      </c>
      <c r="Q51" s="14">
        <f t="shared" si="17"/>
        <v>3784.0747233325069</v>
      </c>
      <c r="R51" s="7">
        <f t="shared" si="18"/>
        <v>0.95090909961224201</v>
      </c>
    </row>
    <row r="52" spans="6:18" ht="16.5" thickTop="1" thickBot="1">
      <c r="F52" s="16"/>
      <c r="H52" s="33">
        <f>'V_1,1pu_DIG'!H52</f>
        <v>3542952.4559060261</v>
      </c>
      <c r="I52" s="8">
        <f t="shared" si="10"/>
        <v>-1290875.0842820706</v>
      </c>
      <c r="J52" s="12">
        <f t="shared" si="9"/>
        <v>571.69564726525186</v>
      </c>
      <c r="K52" s="1">
        <f t="shared" si="11"/>
        <v>-47166878.309763163</v>
      </c>
      <c r="L52" s="1">
        <f t="shared" si="12"/>
        <v>-1290875.0842820706</v>
      </c>
      <c r="M52" s="14">
        <f t="shared" si="13"/>
        <v>3542.952455906026</v>
      </c>
      <c r="N52" s="14">
        <f t="shared" si="14"/>
        <v>-1290.8750842820707</v>
      </c>
      <c r="O52" s="14">
        <f t="shared" si="15"/>
        <v>827.52477558931014</v>
      </c>
      <c r="P52" s="14">
        <f t="shared" si="16"/>
        <v>-1290.8750842820707</v>
      </c>
      <c r="Q52" s="14">
        <f t="shared" si="17"/>
        <v>3770.7917720328692</v>
      </c>
      <c r="R52" s="7">
        <f t="shared" si="18"/>
        <v>0.93957785794042592</v>
      </c>
    </row>
    <row r="53" spans="6:18" ht="16.5" thickTop="1" thickBot="1">
      <c r="F53" s="16"/>
      <c r="H53" s="33">
        <f>'V_1,1pu_DIG'!H53</f>
        <v>3321517.9274118994</v>
      </c>
      <c r="I53" s="8">
        <f t="shared" si="10"/>
        <v>-1689052.8024482937</v>
      </c>
      <c r="J53" s="12">
        <f t="shared" si="9"/>
        <v>560.27103181623534</v>
      </c>
      <c r="K53" s="1">
        <f t="shared" si="11"/>
        <v>-47197608.051540181</v>
      </c>
      <c r="L53" s="1">
        <f t="shared" si="12"/>
        <v>-1689052.8024482937</v>
      </c>
      <c r="M53" s="14">
        <f t="shared" si="13"/>
        <v>3321.5179274118996</v>
      </c>
      <c r="N53" s="14">
        <f t="shared" si="14"/>
        <v>-1689.0528024482937</v>
      </c>
      <c r="O53" s="14">
        <f t="shared" si="15"/>
        <v>811.18757549721647</v>
      </c>
      <c r="P53" s="14">
        <f t="shared" si="16"/>
        <v>-1689.0528024482937</v>
      </c>
      <c r="Q53" s="14">
        <f t="shared" si="17"/>
        <v>3726.3092613975396</v>
      </c>
      <c r="R53" s="7">
        <f t="shared" si="18"/>
        <v>0.89136936695538138</v>
      </c>
    </row>
    <row r="54" spans="6:18" ht="16.5" thickTop="1" thickBot="1">
      <c r="F54" s="16"/>
      <c r="H54" s="33">
        <f>'V_1,1pu_DIG'!H54</f>
        <v>3100083.3989177728</v>
      </c>
      <c r="I54" s="8">
        <f t="shared" si="10"/>
        <v>-2002981.6679809077</v>
      </c>
      <c r="J54" s="12">
        <f t="shared" si="9"/>
        <v>551.09675742144952</v>
      </c>
      <c r="K54" s="1">
        <f t="shared" si="11"/>
        <v>-47226320.724762559</v>
      </c>
      <c r="L54" s="1">
        <f t="shared" si="12"/>
        <v>-2002981.6679809077</v>
      </c>
      <c r="M54" s="14">
        <f t="shared" si="13"/>
        <v>3100.0833989177727</v>
      </c>
      <c r="N54" s="14">
        <f t="shared" si="14"/>
        <v>-2002.9816679809078</v>
      </c>
      <c r="O54" s="14">
        <f t="shared" si="15"/>
        <v>798.06836311267284</v>
      </c>
      <c r="P54" s="14">
        <f t="shared" si="16"/>
        <v>-2002.9816679809078</v>
      </c>
      <c r="Q54" s="14">
        <f t="shared" si="17"/>
        <v>3690.8606912904675</v>
      </c>
      <c r="R54" s="7">
        <f t="shared" si="18"/>
        <v>0.839935087832823</v>
      </c>
    </row>
    <row r="55" spans="6:18" ht="16.5" thickTop="1" thickBot="1">
      <c r="F55" s="16"/>
      <c r="H55" s="33">
        <f>'V_1,1pu_DIG'!H55</f>
        <v>2878648.8704236462</v>
      </c>
      <c r="I55" s="8">
        <f t="shared" si="10"/>
        <v>-2262419.8162014643</v>
      </c>
      <c r="J55" s="12">
        <f t="shared" si="9"/>
        <v>543.39803937075499</v>
      </c>
      <c r="K55" s="1">
        <f t="shared" si="11"/>
        <v>-47253023.334476739</v>
      </c>
      <c r="L55" s="1">
        <f t="shared" si="12"/>
        <v>-2262419.8162014643</v>
      </c>
      <c r="M55" s="14">
        <f t="shared" si="13"/>
        <v>2878.6488704236463</v>
      </c>
      <c r="N55" s="14">
        <f t="shared" si="14"/>
        <v>-2262.4198162014641</v>
      </c>
      <c r="O55" s="14">
        <f t="shared" si="15"/>
        <v>787.05919630017956</v>
      </c>
      <c r="P55" s="14">
        <f t="shared" si="16"/>
        <v>-2262.4198162014641</v>
      </c>
      <c r="Q55" s="14">
        <f t="shared" si="17"/>
        <v>3661.3061527182344</v>
      </c>
      <c r="R55" s="7">
        <f t="shared" si="18"/>
        <v>0.78623549912275814</v>
      </c>
    </row>
    <row r="56" spans="6:18" ht="16.5" thickTop="1" thickBot="1">
      <c r="F56" s="16"/>
      <c r="H56" s="33">
        <f>'V_1,1pu_DIG'!H56</f>
        <v>2657214.3419295195</v>
      </c>
      <c r="I56" s="8">
        <f t="shared" si="10"/>
        <v>-2482024.7238403666</v>
      </c>
      <c r="J56" s="12">
        <f t="shared" si="9"/>
        <v>536.79507556371186</v>
      </c>
      <c r="K56" s="1">
        <f t="shared" si="11"/>
        <v>-47277722.366249807</v>
      </c>
      <c r="L56" s="1">
        <f t="shared" si="12"/>
        <v>-2482024.7238403666</v>
      </c>
      <c r="M56" s="14">
        <f t="shared" si="13"/>
        <v>2657.2143419295194</v>
      </c>
      <c r="N56" s="14">
        <f t="shared" si="14"/>
        <v>-2482.0247238403667</v>
      </c>
      <c r="O56" s="14">
        <f t="shared" si="15"/>
        <v>777.61695805610793</v>
      </c>
      <c r="P56" s="14">
        <f t="shared" si="16"/>
        <v>-2482.0247238403667</v>
      </c>
      <c r="Q56" s="14">
        <f t="shared" si="17"/>
        <v>3636.101592187817</v>
      </c>
      <c r="R56" s="7">
        <f t="shared" si="18"/>
        <v>0.73078660608343782</v>
      </c>
    </row>
    <row r="57" spans="6:18" ht="16.5" thickTop="1" thickBot="1">
      <c r="F57" s="16"/>
      <c r="H57" s="33">
        <f>'V_1,1pu_DIG'!H57</f>
        <v>2435779.8134353929</v>
      </c>
      <c r="I57" s="8">
        <f t="shared" si="10"/>
        <v>-2670303.4431351786</v>
      </c>
      <c r="J57" s="12">
        <f t="shared" si="9"/>
        <v>531.06864918085489</v>
      </c>
      <c r="K57" s="1">
        <f t="shared" si="11"/>
        <v>-47300423.794198632</v>
      </c>
      <c r="L57" s="1">
        <f t="shared" ref="L57:L68" si="19">IF(ABS(I57)&lt;ABS(K57),I57,K57)</f>
        <v>-2670303.4431351786</v>
      </c>
      <c r="M57" s="14">
        <f t="shared" ref="M57:M68" si="20">H57/1000</f>
        <v>2435.779813435393</v>
      </c>
      <c r="N57" s="14">
        <f t="shared" ref="N57:N68" si="21">I57/1000</f>
        <v>-2670.3034431351784</v>
      </c>
      <c r="O57" s="14">
        <f t="shared" ref="O57:O68" si="22">J57*1.43+10</f>
        <v>769.42816832862241</v>
      </c>
      <c r="P57" s="14">
        <f t="shared" ref="P57:P68" si="23">L57/1000</f>
        <v>-2670.3034431351784</v>
      </c>
      <c r="Q57" s="14">
        <f t="shared" ref="Q57:Q68" si="24">SQRT(M57^2+P57^2)</f>
        <v>3614.3524700780008</v>
      </c>
      <c r="R57" s="7">
        <f t="shared" ref="R57:R68" si="25">M57/SQRT(M57^2+P57^2)</f>
        <v>0.67391872641099304</v>
      </c>
    </row>
    <row r="58" spans="6:18" ht="16.5" thickTop="1" thickBot="1">
      <c r="F58" s="16"/>
      <c r="H58" s="33">
        <f>'V_1,1pu_DIG'!H58</f>
        <v>2214345.2849412663</v>
      </c>
      <c r="I58" s="8">
        <f t="shared" si="10"/>
        <v>-2832702.4280949021</v>
      </c>
      <c r="J58" s="12">
        <f t="shared" si="9"/>
        <v>526.07927783914045</v>
      </c>
      <c r="K58" s="1">
        <f t="shared" si="11"/>
        <v>-47321133.088335529</v>
      </c>
      <c r="L58" s="1">
        <f t="shared" si="19"/>
        <v>-2832702.4280949021</v>
      </c>
      <c r="M58" s="14">
        <f t="shared" si="20"/>
        <v>2214.3452849412661</v>
      </c>
      <c r="N58" s="14">
        <f t="shared" si="21"/>
        <v>-2832.7024280949022</v>
      </c>
      <c r="O58" s="14">
        <f t="shared" si="22"/>
        <v>762.29336730997079</v>
      </c>
      <c r="P58" s="14">
        <f t="shared" si="23"/>
        <v>-2832.7024280949022</v>
      </c>
      <c r="Q58" s="14">
        <f t="shared" si="24"/>
        <v>3595.4871835505642</v>
      </c>
      <c r="R58" s="7">
        <f t="shared" si="25"/>
        <v>0.61586793997540756</v>
      </c>
    </row>
    <row r="59" spans="6:18" ht="16.5" thickTop="1" thickBot="1">
      <c r="F59" s="16"/>
      <c r="H59" s="33">
        <f>'V_1,1pu_DIG'!H59</f>
        <v>1992910.7564471397</v>
      </c>
      <c r="I59" s="8">
        <f t="shared" si="10"/>
        <v>-2972941.1713063079</v>
      </c>
      <c r="J59" s="12">
        <f t="shared" si="9"/>
        <v>521.73234349801953</v>
      </c>
      <c r="K59" s="1">
        <f t="shared" si="11"/>
        <v>-47339855.221251838</v>
      </c>
      <c r="L59" s="1">
        <f t="shared" si="19"/>
        <v>-2972941.1713063079</v>
      </c>
      <c r="M59" s="14">
        <f t="shared" si="20"/>
        <v>1992.9107564471396</v>
      </c>
      <c r="N59" s="14">
        <f t="shared" si="21"/>
        <v>-2972.9411713063078</v>
      </c>
      <c r="O59" s="14">
        <f t="shared" si="22"/>
        <v>756.07725120216787</v>
      </c>
      <c r="P59" s="14">
        <f t="shared" si="23"/>
        <v>-2972.9411713063078</v>
      </c>
      <c r="Q59" s="14">
        <f t="shared" si="24"/>
        <v>3579.1161606199416</v>
      </c>
      <c r="R59" s="7">
        <f t="shared" si="25"/>
        <v>0.55681645048981754</v>
      </c>
    </row>
    <row r="60" spans="6:18" ht="16.5" thickTop="1" thickBot="1">
      <c r="F60" s="16"/>
      <c r="H60" s="33">
        <f>'V_1,1pu_DIG'!H60</f>
        <v>1771476.227953013</v>
      </c>
      <c r="I60" s="8">
        <f t="shared" si="10"/>
        <v>-3093675.0021395166</v>
      </c>
      <c r="J60" s="12">
        <f t="shared" si="9"/>
        <v>517.96077419849814</v>
      </c>
      <c r="K60" s="1">
        <f t="shared" si="11"/>
        <v>-47356594.674158663</v>
      </c>
      <c r="L60" s="1">
        <f t="shared" si="19"/>
        <v>-3093675.0021395166</v>
      </c>
      <c r="M60" s="14">
        <f t="shared" si="20"/>
        <v>1771.476227953013</v>
      </c>
      <c r="N60" s="14">
        <f t="shared" si="21"/>
        <v>-3093.6750021395164</v>
      </c>
      <c r="O60" s="14">
        <f t="shared" si="22"/>
        <v>750.68390710385233</v>
      </c>
      <c r="P60" s="14">
        <f t="shared" si="23"/>
        <v>-3093.6750021395164</v>
      </c>
      <c r="Q60" s="14">
        <f t="shared" si="24"/>
        <v>3564.9618574489086</v>
      </c>
      <c r="R60" s="7">
        <f t="shared" si="25"/>
        <v>0.49691309438600378</v>
      </c>
    </row>
    <row r="61" spans="6:18" ht="16.5" thickTop="1" thickBot="1">
      <c r="F61" s="16"/>
      <c r="H61" s="33">
        <f>'V_1,1pu_DIG'!H61</f>
        <v>1550041.6994588864</v>
      </c>
      <c r="I61" s="8">
        <f t="shared" si="10"/>
        <v>-3196858.3853007006</v>
      </c>
      <c r="J61" s="12">
        <f t="shared" si="9"/>
        <v>514.71555661381433</v>
      </c>
      <c r="K61" s="1">
        <f t="shared" si="11"/>
        <v>-47371355.442302287</v>
      </c>
      <c r="L61" s="1">
        <f t="shared" si="19"/>
        <v>-3196858.3853007006</v>
      </c>
      <c r="M61" s="14">
        <f t="shared" si="20"/>
        <v>1550.0416994588863</v>
      </c>
      <c r="N61" s="14">
        <f t="shared" si="21"/>
        <v>-3196.8583853007008</v>
      </c>
      <c r="O61" s="14">
        <f t="shared" si="22"/>
        <v>746.04324595775449</v>
      </c>
      <c r="P61" s="14">
        <f t="shared" si="23"/>
        <v>-3196.8583853007008</v>
      </c>
      <c r="Q61" s="14">
        <f t="shared" si="24"/>
        <v>3552.8204015582883</v>
      </c>
      <c r="R61" s="7">
        <f t="shared" si="25"/>
        <v>0.43628484535244977</v>
      </c>
    </row>
    <row r="62" spans="6:18" ht="16.5" thickTop="1" thickBot="1">
      <c r="F62" s="16"/>
      <c r="H62" s="33">
        <f>'V_1,1pu_DIG'!H62</f>
        <v>1328607.1709647598</v>
      </c>
      <c r="I62" s="8">
        <f t="shared" si="10"/>
        <v>-3283958.838541789</v>
      </c>
      <c r="J62" s="12">
        <f t="shared" si="9"/>
        <v>511.96015182653019</v>
      </c>
      <c r="K62" s="1">
        <f t="shared" si="11"/>
        <v>-47384141.039769456</v>
      </c>
      <c r="L62" s="1">
        <f t="shared" si="19"/>
        <v>-3283958.838541789</v>
      </c>
      <c r="M62" s="14">
        <f t="shared" si="20"/>
        <v>1328.6071709647597</v>
      </c>
      <c r="N62" s="14">
        <f t="shared" si="21"/>
        <v>-3283.9588385417892</v>
      </c>
      <c r="O62" s="14">
        <f t="shared" si="22"/>
        <v>742.10301711193813</v>
      </c>
      <c r="P62" s="14">
        <f t="shared" si="23"/>
        <v>-3283.9588385417892</v>
      </c>
      <c r="Q62" s="14">
        <f t="shared" si="24"/>
        <v>3542.5390143194923</v>
      </c>
      <c r="R62" s="7">
        <f t="shared" si="25"/>
        <v>0.37504376538813644</v>
      </c>
    </row>
    <row r="63" spans="6:18" ht="16.5" thickTop="1" thickBot="1">
      <c r="F63" s="16"/>
      <c r="H63" s="33">
        <f>'V_1,1pu_DIG'!H63</f>
        <v>1107172.6424706331</v>
      </c>
      <c r="I63" s="8">
        <f t="shared" si="10"/>
        <v>-3356089.8101488254</v>
      </c>
      <c r="J63" s="12">
        <f t="shared" si="9"/>
        <v>509.66702738077265</v>
      </c>
      <c r="K63" s="1">
        <f t="shared" si="11"/>
        <v>-47394954.503696308</v>
      </c>
      <c r="L63" s="1">
        <f t="shared" si="19"/>
        <v>-3356089.8101488254</v>
      </c>
      <c r="M63" s="14">
        <f t="shared" si="20"/>
        <v>1107.172642470633</v>
      </c>
      <c r="N63" s="14">
        <f t="shared" si="21"/>
        <v>-3356.0898101488256</v>
      </c>
      <c r="O63" s="14">
        <f t="shared" si="22"/>
        <v>738.82384915450484</v>
      </c>
      <c r="P63" s="14">
        <f t="shared" si="23"/>
        <v>-3356.0898101488256</v>
      </c>
      <c r="Q63" s="14">
        <f t="shared" si="24"/>
        <v>3534.0019912303651</v>
      </c>
      <c r="R63" s="7">
        <f t="shared" si="25"/>
        <v>0.31329145971566646</v>
      </c>
    </row>
    <row r="64" spans="6:18" ht="16.5" thickTop="1" thickBot="1">
      <c r="F64" s="16"/>
      <c r="H64" s="33">
        <f>'V_1,1pu_DIG'!H64</f>
        <v>885738.1139765064</v>
      </c>
      <c r="I64" s="8">
        <f t="shared" si="10"/>
        <v>-3414096.528315491</v>
      </c>
      <c r="J64" s="12">
        <f t="shared" si="9"/>
        <v>507.81541681270403</v>
      </c>
      <c r="K64" s="1">
        <f t="shared" si="11"/>
        <v>-47403798.397892654</v>
      </c>
      <c r="L64" s="1">
        <f t="shared" si="19"/>
        <v>-3414096.528315491</v>
      </c>
      <c r="M64" s="14">
        <f t="shared" si="20"/>
        <v>885.73811397650638</v>
      </c>
      <c r="N64" s="14">
        <f t="shared" si="21"/>
        <v>-3414.096528315491</v>
      </c>
      <c r="O64" s="14">
        <f t="shared" si="22"/>
        <v>736.17604604216672</v>
      </c>
      <c r="P64" s="14">
        <f t="shared" si="23"/>
        <v>-3414.096528315491</v>
      </c>
      <c r="Q64" s="14">
        <f t="shared" si="24"/>
        <v>3527.1216467831878</v>
      </c>
      <c r="R64" s="7">
        <f t="shared" si="25"/>
        <v>0.25112207705802236</v>
      </c>
    </row>
    <row r="65" spans="6:18" ht="16.5" thickTop="1" thickBot="1">
      <c r="F65" s="16"/>
      <c r="H65" s="33">
        <f>'V_1,1pu_DIG'!H65</f>
        <v>664303.58548237965</v>
      </c>
      <c r="I65" s="8">
        <f t="shared" si="10"/>
        <v>-3458612.9530247007</v>
      </c>
      <c r="J65" s="12">
        <f t="shared" si="9"/>
        <v>506.38983317165548</v>
      </c>
      <c r="K65" s="1">
        <f t="shared" si="11"/>
        <v>-47410674.815891869</v>
      </c>
      <c r="L65" s="1">
        <f t="shared" si="19"/>
        <v>-3458612.9530247007</v>
      </c>
      <c r="M65" s="14">
        <f t="shared" si="20"/>
        <v>664.30358548237962</v>
      </c>
      <c r="N65" s="14">
        <f t="shared" si="21"/>
        <v>-3458.6129530247008</v>
      </c>
      <c r="O65" s="14">
        <f t="shared" si="22"/>
        <v>734.13746143546734</v>
      </c>
      <c r="P65" s="14">
        <f t="shared" si="23"/>
        <v>-3458.6129530247008</v>
      </c>
      <c r="Q65" s="14">
        <f t="shared" si="24"/>
        <v>3521.8323089714231</v>
      </c>
      <c r="R65" s="7">
        <f t="shared" si="25"/>
        <v>0.18862442251726469</v>
      </c>
    </row>
    <row r="66" spans="6:18" ht="16.5" thickTop="1" thickBot="1">
      <c r="F66" s="16"/>
      <c r="H66" s="33">
        <f>'V_1,1pu_DIG'!H66</f>
        <v>442869.05698825291</v>
      </c>
      <c r="I66" s="8">
        <f t="shared" si="10"/>
        <v>-3490100.0167343691</v>
      </c>
      <c r="J66" s="12">
        <f t="shared" si="9"/>
        <v>505.37907068390331</v>
      </c>
      <c r="K66" s="1">
        <f t="shared" si="11"/>
        <v>-47415585.383434758</v>
      </c>
      <c r="L66" s="1">
        <f t="shared" si="19"/>
        <v>-3490100.0167343691</v>
      </c>
      <c r="M66" s="14">
        <f t="shared" si="20"/>
        <v>442.86905698825291</v>
      </c>
      <c r="N66" s="14">
        <f t="shared" si="21"/>
        <v>-3490.1000167343691</v>
      </c>
      <c r="O66" s="14">
        <f t="shared" si="22"/>
        <v>732.69207107798172</v>
      </c>
      <c r="P66" s="14">
        <f t="shared" si="23"/>
        <v>-3490.1000167343691</v>
      </c>
      <c r="Q66" s="14">
        <f t="shared" si="24"/>
        <v>3518.0862878057592</v>
      </c>
      <c r="R66" s="7">
        <f t="shared" si="25"/>
        <v>0.12588351187499486</v>
      </c>
    </row>
    <row r="67" spans="6:18" ht="16.5" thickTop="1" thickBot="1">
      <c r="F67" s="16"/>
      <c r="H67" s="33">
        <f>'V_1,1pu_DIG'!H67</f>
        <v>221434.52849412619</v>
      </c>
      <c r="I67" s="8">
        <f t="shared" si="10"/>
        <v>-3508871.0927870655</v>
      </c>
      <c r="J67" s="12">
        <f t="shared" si="9"/>
        <v>504.77553966033588</v>
      </c>
      <c r="K67" s="1">
        <f t="shared" si="11"/>
        <v>-47418531.260394409</v>
      </c>
      <c r="L67" s="1">
        <f t="shared" si="19"/>
        <v>-3508871.0927870655</v>
      </c>
      <c r="M67" s="14">
        <f t="shared" si="20"/>
        <v>221.4345284941262</v>
      </c>
      <c r="N67" s="14">
        <f t="shared" si="21"/>
        <v>-3508.8710927870657</v>
      </c>
      <c r="O67" s="14">
        <f t="shared" si="22"/>
        <v>731.82902171428032</v>
      </c>
      <c r="P67" s="14">
        <f t="shared" si="23"/>
        <v>-3508.8710927870657</v>
      </c>
      <c r="Q67" s="14">
        <f t="shared" si="24"/>
        <v>3515.8511908506757</v>
      </c>
      <c r="R67" s="7">
        <f t="shared" si="25"/>
        <v>6.2981769271227075E-2</v>
      </c>
    </row>
    <row r="68" spans="6:18" ht="16.5" thickTop="1" thickBot="1">
      <c r="F68" s="16"/>
      <c r="H68" s="33">
        <f>'V_1,1pu_DIG'!H68</f>
        <v>-5.2386894822120667E-10</v>
      </c>
      <c r="I68" s="8">
        <f t="shared" si="10"/>
        <v>-3515108.2139804438</v>
      </c>
      <c r="J68" s="12">
        <f>SQRT(3)*SQRT(($B$3/SQRT(3)*K_1+SQRT(H68^2+I68^2)/SQRT(3)/$B$3/Nm*I68/SQRT(H68^2+I68^2)*K_2)^2+(SQRT(H68^2+I68^2)/SQRT(3)/$B$3/Nm*H68/SQRT(H68^2+I68^2)*K_2)^2)</f>
        <v>504.57484283110199</v>
      </c>
      <c r="K68" s="1">
        <f t="shared" si="11"/>
        <v>-47419513.142147295</v>
      </c>
      <c r="L68" s="1">
        <f t="shared" si="19"/>
        <v>-3515108.2139804438</v>
      </c>
      <c r="M68" s="14">
        <f t="shared" si="20"/>
        <v>-5.2386894822120663E-13</v>
      </c>
      <c r="N68" s="14">
        <f t="shared" si="21"/>
        <v>-3515.1082139804439</v>
      </c>
      <c r="O68" s="14">
        <f t="shared" si="22"/>
        <v>731.54202524847585</v>
      </c>
      <c r="P68" s="14">
        <f t="shared" si="23"/>
        <v>-3515.1082139804439</v>
      </c>
      <c r="Q68" s="14">
        <f t="shared" si="24"/>
        <v>3515.1082139804439</v>
      </c>
      <c r="R68" s="7">
        <f t="shared" si="25"/>
        <v>-1.4903351940564785E-16</v>
      </c>
    </row>
    <row r="69" spans="6:18" ht="15.75" thickTop="1"/>
  </sheetData>
  <hyperlinks>
    <hyperlink ref="A13" r:id="rId1" display="Vdc@Tmin" xr:uid="{00000000-0004-0000-0800-000000000000}"/>
    <hyperlink ref="A22" r:id="rId2" display="P@PF=1 (W) (kW)" xr:uid="{00000000-0004-0000-0800-000001000000}"/>
    <hyperlink ref="C22" r:id="rId3" display="P@PF=1 (kW)" xr:uid="{00000000-0004-0000-0800-000002000000}"/>
    <hyperlink ref="C23" r:id="rId4" display="P@PF=1 (kW)" xr:uid="{00000000-0004-0000-0800-000003000000}"/>
  </hyperlinks>
  <pageMargins left="0.7" right="0.7" top="0.75" bottom="0.75" header="0.3" footer="0.3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9"/>
  <sheetViews>
    <sheetView workbookViewId="0">
      <selection activeCell="D8" sqref="D8"/>
    </sheetView>
  </sheetViews>
  <sheetFormatPr baseColWidth="10" defaultRowHeight="15"/>
  <cols>
    <col min="1" max="1" width="28.140625" customWidth="1"/>
    <col min="2" max="2" width="14.5703125" bestFit="1" customWidth="1"/>
    <col min="3" max="3" width="17.42578125" bestFit="1" customWidth="1"/>
    <col min="4" max="4" width="10.5703125" bestFit="1" customWidth="1"/>
    <col min="5" max="5" width="9.140625"/>
    <col min="6" max="6" width="21.140625" bestFit="1" customWidth="1"/>
    <col min="7" max="7" width="9.140625"/>
    <col min="8" max="8" width="9.140625" hidden="1" customWidth="1"/>
    <col min="9" max="12" width="11.85546875" hidden="1" customWidth="1"/>
    <col min="13" max="13" width="10.5703125" bestFit="1" customWidth="1"/>
    <col min="14" max="15" width="10.5703125" customWidth="1"/>
    <col min="16" max="16" width="10.7109375" bestFit="1" customWidth="1"/>
    <col min="17" max="18" width="9.140625"/>
  </cols>
  <sheetData>
    <row r="1" spans="1:18" ht="15.75" thickBot="1">
      <c r="A1" s="3" t="s">
        <v>70</v>
      </c>
      <c r="B1">
        <f>Capability!B1</f>
        <v>620</v>
      </c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18</v>
      </c>
      <c r="O1" s="2" t="s">
        <v>19</v>
      </c>
      <c r="P1" s="2" t="s">
        <v>14</v>
      </c>
      <c r="Q1" s="2" t="s">
        <v>13</v>
      </c>
      <c r="R1" s="2" t="s">
        <v>12</v>
      </c>
    </row>
    <row r="2" spans="1:18" ht="16.5" thickTop="1" thickBot="1">
      <c r="A2" s="3" t="s">
        <v>71</v>
      </c>
      <c r="B2" s="28">
        <v>1</v>
      </c>
      <c r="F2" t="s">
        <v>20</v>
      </c>
      <c r="G2" s="15">
        <f>Capability!G2</f>
        <v>3750</v>
      </c>
      <c r="H2" s="1">
        <f>G2*1000</f>
        <v>3750000</v>
      </c>
      <c r="I2" s="8">
        <f>Nm*(SQRT(IF(3/K_3^2*Ii^2*Vo^2-(H2/Nm)^2&lt;0.0000000001,0,3/K_3^2*Ii^2*Vo^2-(H2/Nm)^2))+Vo^2/K_3*K_4)</f>
        <v>1868166.1256317445</v>
      </c>
      <c r="J2" s="11">
        <f t="shared" ref="J2:J56" si="0">SQRT(3)*SQRT((Vo/SQRT(3)*K_1+SQRT(H2^2+I2^2)/SQRT(3)/Vo/Nm*I2/SQRT(H2^2+I2^2)*K_2)^2+(SQRT(H2^2+I2^2)/SQRT(3)/Vo/Nm*H2/SQRT(H2^2+I2^2)*K_2)^2)</f>
        <v>666.47532075623133</v>
      </c>
      <c r="K2" s="1">
        <f>Nm*(SQRT(Vi^2*Vo^2/K_2^2-(H2/Nm)^2)-Vo^2*K_1/K_2)</f>
        <v>1825941.4535205401</v>
      </c>
      <c r="L2" s="1">
        <f>IF(ABS(I2)&lt;ABS(K2),I2,K2)</f>
        <v>1825941.4535205401</v>
      </c>
      <c r="M2" s="13">
        <f t="shared" ref="M2:N44" si="1">H2/1000</f>
        <v>3750</v>
      </c>
      <c r="N2" s="13">
        <f>I2/1000</f>
        <v>1868.1661256317445</v>
      </c>
      <c r="O2" s="13">
        <f>J2*1.43+10</f>
        <v>963.05970868141071</v>
      </c>
      <c r="P2" s="13">
        <f t="shared" ref="P2:P44" si="2">L2/1000</f>
        <v>1825.9414535205401</v>
      </c>
      <c r="Q2" s="13">
        <f>SQRT(M2^2+P2^2)</f>
        <v>4170.9186268356643</v>
      </c>
      <c r="R2" s="9">
        <f>M2/SQRT(M2^2+P2^2)</f>
        <v>0.89908251287199026</v>
      </c>
    </row>
    <row r="3" spans="1:18" ht="16.5" thickTop="1" thickBot="1">
      <c r="A3" s="21" t="s">
        <v>67</v>
      </c>
      <c r="B3" s="21">
        <f>$B$1*B2</f>
        <v>620</v>
      </c>
      <c r="F3" t="s">
        <v>21</v>
      </c>
      <c r="G3" s="15">
        <f>Capability!G3</f>
        <v>2846</v>
      </c>
      <c r="H3" s="1">
        <f>G3*1000</f>
        <v>2846000</v>
      </c>
      <c r="I3" s="8">
        <f>Nm*(-SQRT(IF(3/K_3^2*Ii^2*Vo^2-(H3/Nm)^2&lt;0.0000000001,0,3/K_3^2*Ii^2*Vo^2-(H3/Nm)^2))+Vo^2/K_3*K_4)</f>
        <v>-2394824.3571095341</v>
      </c>
      <c r="J3" s="12">
        <f t="shared" si="0"/>
        <v>552.93135031179384</v>
      </c>
      <c r="K3" s="1">
        <f>Nm*(-SQRT(Vi^2*Vo^2/K_2^2-(H3/Nm)^2)-Vo^2*K_1/K_2)</f>
        <v>-48695324.700874001</v>
      </c>
      <c r="L3" s="1">
        <f>IF(ABS(I3)&lt;ABS(K3),I3,K3)</f>
        <v>-2394824.3571095341</v>
      </c>
      <c r="M3" s="13">
        <f t="shared" si="1"/>
        <v>2846</v>
      </c>
      <c r="N3" s="13">
        <f t="shared" si="1"/>
        <v>-2394.824357109534</v>
      </c>
      <c r="O3" s="13">
        <f t="shared" ref="O3:O44" si="3">J3*1.43+10</f>
        <v>800.69183094586515</v>
      </c>
      <c r="P3" s="13">
        <f t="shared" si="2"/>
        <v>-2394.824357109534</v>
      </c>
      <c r="Q3" s="13">
        <f>SQRT(M3^2+P3^2)</f>
        <v>3719.529500004684</v>
      </c>
      <c r="R3" s="9">
        <f>M3/SQRT(M3^2+P3^2)</f>
        <v>0.76515053852817028</v>
      </c>
    </row>
    <row r="4" spans="1:18" ht="16.5" thickTop="1" thickBot="1">
      <c r="A4" s="3" t="s">
        <v>11</v>
      </c>
      <c r="B4" s="6">
        <f>Nm</f>
        <v>3</v>
      </c>
      <c r="F4" s="16"/>
      <c r="H4" s="33">
        <f>'V_1,1pu_DIG'!H4</f>
        <v>0</v>
      </c>
      <c r="I4" s="8">
        <f t="shared" ref="I4:I36" si="4">Nm*(SQRT(IF(3/K_3^2*Ii^2*Vo^2-(H4/Nm)^2&lt;0.0000000001,0,3/K_3^2*Ii^2*Vo^2-(H4/Nm)^2))+Vo^2/K_3*K_4)</f>
        <v>4450198.7964843009</v>
      </c>
      <c r="J4" s="12">
        <f t="shared" si="0"/>
        <v>726.67072918381211</v>
      </c>
      <c r="K4" s="1">
        <f t="shared" ref="K4:K36" si="5">Nm*(SQRT(Vi^2*Vo^2/K_2^2-(H4/Nm)^2)-Vo^2*K_1/K_2)</f>
        <v>2103413.8700017165</v>
      </c>
      <c r="L4" s="1">
        <f>IF(ABS(I4)&lt;ABS(K4),I4,K4)</f>
        <v>2103413.8700017165</v>
      </c>
      <c r="M4" s="14">
        <f t="shared" si="1"/>
        <v>0</v>
      </c>
      <c r="N4" s="14">
        <f t="shared" si="1"/>
        <v>4450.1987964843011</v>
      </c>
      <c r="O4" s="14">
        <f t="shared" si="3"/>
        <v>1049.1391427328513</v>
      </c>
      <c r="P4" s="14">
        <f t="shared" si="2"/>
        <v>2103.4138700017165</v>
      </c>
      <c r="Q4" s="14">
        <f t="shared" ref="Q4:Q44" si="6">SQRT(M4^2+P4^2)</f>
        <v>2103.4138700017165</v>
      </c>
      <c r="R4" s="7">
        <f>M4/SQRT(M4^2+P4^2)</f>
        <v>0</v>
      </c>
    </row>
    <row r="5" spans="1:18" ht="16.5" thickTop="1" thickBot="1">
      <c r="A5" s="3" t="s">
        <v>1</v>
      </c>
      <c r="B5" s="6">
        <f>Capability!B5</f>
        <v>50</v>
      </c>
      <c r="C5" s="1" t="s">
        <v>32</v>
      </c>
      <c r="D5" s="1">
        <f>2*PI()*B5</f>
        <v>314.15926535897933</v>
      </c>
      <c r="F5" s="16"/>
      <c r="H5" s="33">
        <f>'V_1,1pu_DIG'!H5</f>
        <v>221434.52849412672</v>
      </c>
      <c r="I5" s="8">
        <f t="shared" si="4"/>
        <v>4444086.6098913886</v>
      </c>
      <c r="J5" s="12">
        <f t="shared" si="0"/>
        <v>726.53412372802495</v>
      </c>
      <c r="K5" s="1">
        <f t="shared" si="5"/>
        <v>2102451.6266331263</v>
      </c>
      <c r="L5" s="1">
        <f t="shared" ref="L5:L44" si="7">IF(ABS(I5)&lt;ABS(K5),I5,K5)</f>
        <v>2102451.6266331263</v>
      </c>
      <c r="M5" s="14">
        <f t="shared" si="1"/>
        <v>221.43452849412671</v>
      </c>
      <c r="N5" s="14">
        <f t="shared" si="1"/>
        <v>4444.0866098913884</v>
      </c>
      <c r="O5" s="14">
        <f t="shared" si="3"/>
        <v>1048.9437969310757</v>
      </c>
      <c r="P5" s="14">
        <f t="shared" si="2"/>
        <v>2102.4516266331261</v>
      </c>
      <c r="Q5" s="14">
        <f t="shared" si="6"/>
        <v>2114.0804366773027</v>
      </c>
      <c r="R5" s="7">
        <f t="shared" ref="R5:R44" si="8">M5/SQRT(M5^2+P5^2)</f>
        <v>0.10474271681079224</v>
      </c>
    </row>
    <row r="6" spans="1:18" ht="16.5" thickTop="1" thickBot="1">
      <c r="A6" s="3" t="s">
        <v>0</v>
      </c>
      <c r="B6" s="6">
        <f>Capability!B6</f>
        <v>2700</v>
      </c>
      <c r="F6" s="16"/>
      <c r="H6" s="33">
        <f>'V_1,1pu_DIG'!H6</f>
        <v>442869.05698825343</v>
      </c>
      <c r="I6" s="8">
        <f t="shared" si="4"/>
        <v>4425693.8669894384</v>
      </c>
      <c r="J6" s="12">
        <f t="shared" si="0"/>
        <v>726.12289666012805</v>
      </c>
      <c r="K6" s="1">
        <f t="shared" si="5"/>
        <v>2099564.6784539111</v>
      </c>
      <c r="L6" s="1">
        <f t="shared" si="7"/>
        <v>2099564.6784539111</v>
      </c>
      <c r="M6" s="14">
        <f t="shared" si="1"/>
        <v>442.86905698825342</v>
      </c>
      <c r="N6" s="14">
        <f t="shared" si="1"/>
        <v>4425.693866989438</v>
      </c>
      <c r="O6" s="14">
        <f t="shared" si="3"/>
        <v>1048.355742223983</v>
      </c>
      <c r="P6" s="14">
        <f t="shared" si="2"/>
        <v>2099.5646784539113</v>
      </c>
      <c r="Q6" s="14">
        <f t="shared" si="6"/>
        <v>2145.7643954192504</v>
      </c>
      <c r="R6" s="7">
        <f t="shared" si="8"/>
        <v>0.20639221059575993</v>
      </c>
    </row>
    <row r="7" spans="1:18" ht="16.5" thickTop="1" thickBot="1">
      <c r="A7" s="3" t="s">
        <v>43</v>
      </c>
      <c r="B7" s="6">
        <f>Capability!B7</f>
        <v>33</v>
      </c>
      <c r="C7" s="1" t="s">
        <v>40</v>
      </c>
      <c r="D7" s="1">
        <f>B7+aux!C6</f>
        <v>44.25</v>
      </c>
      <c r="F7" s="16"/>
      <c r="H7" s="33">
        <f>'V_1,1pu_DIG'!H7</f>
        <v>664303.58548238012</v>
      </c>
      <c r="I7" s="8">
        <f t="shared" si="4"/>
        <v>4394849.4041406438</v>
      </c>
      <c r="J7" s="12">
        <f t="shared" si="0"/>
        <v>725.43274934566034</v>
      </c>
      <c r="K7" s="1">
        <f t="shared" si="5"/>
        <v>2094752.3709966</v>
      </c>
      <c r="L7" s="1">
        <f t="shared" si="7"/>
        <v>2094752.3709966</v>
      </c>
      <c r="M7" s="14">
        <f t="shared" si="1"/>
        <v>664.30358548238007</v>
      </c>
      <c r="N7" s="14">
        <f t="shared" si="1"/>
        <v>4394.8494041406439</v>
      </c>
      <c r="O7" s="14">
        <f t="shared" si="3"/>
        <v>1047.3688315642942</v>
      </c>
      <c r="P7" s="14">
        <f t="shared" si="2"/>
        <v>2094.7523709965999</v>
      </c>
      <c r="Q7" s="14">
        <f t="shared" si="6"/>
        <v>2197.5638214806463</v>
      </c>
      <c r="R7" s="7">
        <f t="shared" si="8"/>
        <v>0.30229091823817617</v>
      </c>
    </row>
    <row r="8" spans="1:18" ht="16.5" thickTop="1" thickBot="1">
      <c r="A8" s="3" t="s">
        <v>41</v>
      </c>
      <c r="B8" s="6">
        <f>Capability!B8</f>
        <v>951.5</v>
      </c>
      <c r="C8" s="1" t="s">
        <v>33</v>
      </c>
      <c r="D8" s="1">
        <f>IF(B8&gt;1250,1250,IF(B8&lt;B3*1.43,B3*1.43,B8))</f>
        <v>951.5</v>
      </c>
      <c r="F8" s="16"/>
      <c r="H8" s="33">
        <f>'V_1,1pu_DIG'!H8</f>
        <v>885738.11397650687</v>
      </c>
      <c r="I8" s="8">
        <f t="shared" si="4"/>
        <v>4351258.9451534506</v>
      </c>
      <c r="J8" s="12">
        <f t="shared" si="0"/>
        <v>724.45628822469337</v>
      </c>
      <c r="K8" s="1">
        <f t="shared" si="5"/>
        <v>2088013.6126574669</v>
      </c>
      <c r="L8" s="1">
        <f t="shared" si="7"/>
        <v>2088013.6126574669</v>
      </c>
      <c r="M8" s="14">
        <f t="shared" si="1"/>
        <v>885.73811397650684</v>
      </c>
      <c r="N8" s="14">
        <f t="shared" si="1"/>
        <v>4351.2589451534504</v>
      </c>
      <c r="O8" s="14">
        <f t="shared" si="3"/>
        <v>1045.9724921613115</v>
      </c>
      <c r="P8" s="14">
        <f t="shared" si="2"/>
        <v>2088.0136126574671</v>
      </c>
      <c r="Q8" s="14">
        <f t="shared" si="6"/>
        <v>2268.1121782648993</v>
      </c>
      <c r="R8" s="7">
        <f t="shared" si="8"/>
        <v>0.39051777176827934</v>
      </c>
    </row>
    <row r="9" spans="1:18" ht="16.5" thickTop="1" thickBot="1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H9" s="33">
        <f>'V_1,1pu_DIG'!H9</f>
        <v>1107172.6424706336</v>
      </c>
      <c r="I9" s="8">
        <f t="shared" si="4"/>
        <v>4294490.5246692635</v>
      </c>
      <c r="J9" s="12">
        <f t="shared" si="0"/>
        <v>723.18265366893365</v>
      </c>
      <c r="K9" s="1">
        <f t="shared" si="5"/>
        <v>2079346.8734573331</v>
      </c>
      <c r="L9" s="1">
        <f t="shared" si="7"/>
        <v>2079346.8734573331</v>
      </c>
      <c r="M9" s="14">
        <f t="shared" si="1"/>
        <v>1107.1726424706337</v>
      </c>
      <c r="N9" s="14">
        <f t="shared" si="1"/>
        <v>4294.4905246692633</v>
      </c>
      <c r="O9" s="14">
        <f t="shared" si="3"/>
        <v>1044.1511947465751</v>
      </c>
      <c r="P9" s="14">
        <f t="shared" si="2"/>
        <v>2079.346873457333</v>
      </c>
      <c r="Q9" s="14">
        <f t="shared" si="6"/>
        <v>2355.7407922757952</v>
      </c>
      <c r="R9" s="7">
        <f t="shared" si="8"/>
        <v>0.46998916268756147</v>
      </c>
    </row>
    <row r="10" spans="1:18" ht="16.5" thickTop="1" thickBot="1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1.1492499999999999</v>
      </c>
      <c r="F10" s="16"/>
      <c r="H10" s="33">
        <f>'V_1,1pu_DIG'!H10</f>
        <v>1328607.1709647602</v>
      </c>
      <c r="I10" s="8">
        <f t="shared" si="4"/>
        <v>4223951.7056910954</v>
      </c>
      <c r="J10" s="12">
        <f t="shared" si="0"/>
        <v>721.5969396509181</v>
      </c>
      <c r="K10" s="1">
        <f t="shared" si="5"/>
        <v>2068750.1833020765</v>
      </c>
      <c r="L10" s="1">
        <f t="shared" si="7"/>
        <v>2068750.1833020765</v>
      </c>
      <c r="M10" s="14">
        <f t="shared" si="1"/>
        <v>1328.6071709647601</v>
      </c>
      <c r="N10" s="14">
        <f t="shared" si="1"/>
        <v>4223.9517056910954</v>
      </c>
      <c r="O10" s="14">
        <f t="shared" si="3"/>
        <v>1041.8836237008129</v>
      </c>
      <c r="P10" s="14">
        <f t="shared" si="2"/>
        <v>2068.7501833020765</v>
      </c>
      <c r="Q10" s="14">
        <f t="shared" si="6"/>
        <v>2458.6427832548911</v>
      </c>
      <c r="R10" s="7">
        <f t="shared" si="8"/>
        <v>0.54038235241553656</v>
      </c>
    </row>
    <row r="11" spans="1:18" ht="16.5" thickTop="1" thickBot="1">
      <c r="A11" s="21" t="s">
        <v>49</v>
      </c>
      <c r="B11" s="20">
        <f>B9*B10</f>
        <v>1.2004372301587298</v>
      </c>
      <c r="F11" s="16"/>
      <c r="H11" s="33">
        <f>'V_1,1pu_DIG'!H11</f>
        <v>1550041.6994588869</v>
      </c>
      <c r="I11" s="8">
        <f t="shared" si="4"/>
        <v>4138855.5921203038</v>
      </c>
      <c r="J11" s="12">
        <f t="shared" si="0"/>
        <v>719.67932750969646</v>
      </c>
      <c r="K11" s="1">
        <f t="shared" si="5"/>
        <v>2056221.1297383215</v>
      </c>
      <c r="L11" s="1">
        <f t="shared" si="7"/>
        <v>2056221.1297383215</v>
      </c>
      <c r="M11" s="14">
        <f t="shared" si="1"/>
        <v>1550.0416994588868</v>
      </c>
      <c r="N11" s="14">
        <f t="shared" si="1"/>
        <v>4138.8555921203042</v>
      </c>
      <c r="O11" s="14">
        <f t="shared" si="3"/>
        <v>1039.141438338866</v>
      </c>
      <c r="P11" s="14">
        <f t="shared" si="2"/>
        <v>2056.2211297383215</v>
      </c>
      <c r="Q11" s="14">
        <f t="shared" si="6"/>
        <v>2575.0096319128074</v>
      </c>
      <c r="R11" s="7">
        <f t="shared" si="8"/>
        <v>0.60195568989288073</v>
      </c>
    </row>
    <row r="12" spans="1:18" ht="16.5" thickTop="1" thickBot="1">
      <c r="A12" s="3" t="s">
        <v>44</v>
      </c>
      <c r="B12" s="6">
        <f>Capability!B12</f>
        <v>-5</v>
      </c>
      <c r="C12" s="1" t="s">
        <v>39</v>
      </c>
      <c r="D12" s="1">
        <f>B12+aux!C6</f>
        <v>6.25</v>
      </c>
      <c r="F12" s="16"/>
      <c r="H12" s="33">
        <f>'V_1,1pu_DIG'!H12</f>
        <v>1771476.2279530135</v>
      </c>
      <c r="I12" s="8">
        <f t="shared" si="4"/>
        <v>4038170.6353996703</v>
      </c>
      <c r="J12" s="12">
        <f t="shared" si="0"/>
        <v>717.40380583936724</v>
      </c>
      <c r="K12" s="1">
        <f t="shared" si="5"/>
        <v>2041756.8551981058</v>
      </c>
      <c r="L12" s="1">
        <f t="shared" si="7"/>
        <v>2041756.8551981058</v>
      </c>
      <c r="M12" s="14">
        <f t="shared" si="1"/>
        <v>1771.4762279530134</v>
      </c>
      <c r="N12" s="14">
        <f t="shared" si="1"/>
        <v>4038.1706353996701</v>
      </c>
      <c r="O12" s="14">
        <f t="shared" si="3"/>
        <v>1035.887442350295</v>
      </c>
      <c r="P12" s="14">
        <f t="shared" si="2"/>
        <v>2041.7568551981058</v>
      </c>
      <c r="Q12" s="14">
        <f t="shared" si="6"/>
        <v>2703.1276481052637</v>
      </c>
      <c r="R12" s="7">
        <f t="shared" si="8"/>
        <v>0.65534316486856103</v>
      </c>
    </row>
    <row r="13" spans="1:18" ht="16.5" thickTop="1" thickBot="1">
      <c r="A13" s="3" t="s">
        <v>42</v>
      </c>
      <c r="B13" s="19">
        <f>Capability!B13</f>
        <v>1130</v>
      </c>
      <c r="C13" s="1" t="s">
        <v>48</v>
      </c>
      <c r="D13" s="1">
        <f>IF(B13&gt;1250,1250,IF(B13&lt;B3*1.43,B3*1.43,B13))</f>
        <v>1130</v>
      </c>
      <c r="F13" s="16"/>
      <c r="H13" s="33">
        <f>'V_1,1pu_DIG'!H13</f>
        <v>1992910.7564471401</v>
      </c>
      <c r="I13" s="8">
        <f t="shared" si="4"/>
        <v>3920545.777488586</v>
      </c>
      <c r="J13" s="12">
        <f t="shared" si="0"/>
        <v>714.73625996230749</v>
      </c>
      <c r="K13" s="1">
        <f t="shared" si="5"/>
        <v>2025354.0537254624</v>
      </c>
      <c r="L13" s="1">
        <f t="shared" si="7"/>
        <v>2025354.0537254624</v>
      </c>
      <c r="M13" s="14">
        <f t="shared" si="1"/>
        <v>1992.9107564471401</v>
      </c>
      <c r="N13" s="14">
        <f t="shared" si="1"/>
        <v>3920.5457774885858</v>
      </c>
      <c r="O13" s="14">
        <f t="shared" si="3"/>
        <v>1032.0728517460998</v>
      </c>
      <c r="P13" s="14">
        <f t="shared" si="2"/>
        <v>2025.3540537254623</v>
      </c>
      <c r="Q13" s="14">
        <f t="shared" si="6"/>
        <v>2841.4349061882231</v>
      </c>
      <c r="R13" s="7">
        <f t="shared" si="8"/>
        <v>0.70137477093241751</v>
      </c>
    </row>
    <row r="14" spans="1:18" ht="16.5" thickTop="1" thickBot="1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H14" s="33">
        <f>'V_1,1pu_DIG'!H14</f>
        <v>2214345.2849412668</v>
      </c>
      <c r="I14" s="8">
        <f t="shared" si="4"/>
        <v>3784196.1367117409</v>
      </c>
      <c r="J14" s="12">
        <f t="shared" si="0"/>
        <v>711.63155204948316</v>
      </c>
      <c r="K14" s="1">
        <f t="shared" si="5"/>
        <v>2007008.9671758581</v>
      </c>
      <c r="L14" s="1">
        <f t="shared" si="7"/>
        <v>2007008.9671758581</v>
      </c>
      <c r="M14" s="14">
        <f t="shared" si="1"/>
        <v>2214.345284941267</v>
      </c>
      <c r="N14" s="14">
        <f t="shared" si="1"/>
        <v>3784.196136711741</v>
      </c>
      <c r="O14" s="14">
        <f t="shared" si="3"/>
        <v>1027.6331194307609</v>
      </c>
      <c r="P14" s="14">
        <f t="shared" si="2"/>
        <v>2007.0089671758581</v>
      </c>
      <c r="Q14" s="14">
        <f t="shared" si="6"/>
        <v>2988.5464753397973</v>
      </c>
      <c r="R14" s="7">
        <f t="shared" si="8"/>
        <v>0.7409439013959106</v>
      </c>
    </row>
    <row r="15" spans="1:18" ht="16.5" thickTop="1" thickBot="1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H15" s="33">
        <f>'V_1,1pu_DIG'!H15</f>
        <v>2435779.8134353934</v>
      </c>
      <c r="I15" s="8">
        <f t="shared" si="4"/>
        <v>3626722.0799339516</v>
      </c>
      <c r="J15" s="12">
        <f t="shared" si="0"/>
        <v>708.0288959036933</v>
      </c>
      <c r="K15" s="1">
        <f t="shared" si="5"/>
        <v>1986717.3808783572</v>
      </c>
      <c r="L15" s="1">
        <f t="shared" si="7"/>
        <v>1986717.3808783572</v>
      </c>
      <c r="M15" s="14">
        <f t="shared" si="1"/>
        <v>2435.7798134353934</v>
      </c>
      <c r="N15" s="14">
        <f t="shared" si="1"/>
        <v>3626.7220799339516</v>
      </c>
      <c r="O15" s="14">
        <f t="shared" si="3"/>
        <v>1022.4813211422813</v>
      </c>
      <c r="P15" s="14">
        <f t="shared" si="2"/>
        <v>1986.7173808783573</v>
      </c>
      <c r="Q15" s="14">
        <f t="shared" si="6"/>
        <v>3143.2577449238106</v>
      </c>
      <c r="R15" s="7">
        <f t="shared" si="8"/>
        <v>0.7749220748343163</v>
      </c>
    </row>
    <row r="16" spans="1:18" ht="16.5" thickTop="1" thickBot="1">
      <c r="A16" s="21" t="s">
        <v>50</v>
      </c>
      <c r="B16" s="20">
        <f>B14*B15</f>
        <v>1.1831619047619049</v>
      </c>
      <c r="F16" s="16"/>
      <c r="H16" s="33">
        <f>'V_1,1pu_DIG'!H16</f>
        <v>2657214.34192952</v>
      </c>
      <c r="I16" s="8">
        <f t="shared" si="4"/>
        <v>3444808.5836680718</v>
      </c>
      <c r="J16" s="12">
        <f t="shared" si="0"/>
        <v>703.84416487383294</v>
      </c>
      <c r="K16" s="1">
        <f t="shared" si="5"/>
        <v>1964474.618748771</v>
      </c>
      <c r="L16" s="1">
        <f t="shared" si="7"/>
        <v>1964474.618748771</v>
      </c>
      <c r="M16" s="14">
        <f t="shared" si="1"/>
        <v>2657.2143419295198</v>
      </c>
      <c r="N16" s="14">
        <f t="shared" si="1"/>
        <v>3444.8085836680716</v>
      </c>
      <c r="O16" s="14">
        <f t="shared" si="3"/>
        <v>1016.497155769581</v>
      </c>
      <c r="P16" s="14">
        <f t="shared" si="2"/>
        <v>1964.474618748771</v>
      </c>
      <c r="Q16" s="14">
        <f t="shared" si="6"/>
        <v>3304.5345491708904</v>
      </c>
      <c r="R16" s="7">
        <f t="shared" si="8"/>
        <v>0.80411153292260673</v>
      </c>
    </row>
    <row r="17" spans="1:18" ht="16.5" thickTop="1" thickBot="1">
      <c r="A17" s="21"/>
      <c r="B17" s="20"/>
      <c r="F17" s="16"/>
      <c r="H17" s="33">
        <f>'V_1,1pu_DIG'!H17</f>
        <v>2878648.8704236466</v>
      </c>
      <c r="I17" s="8">
        <f t="shared" si="4"/>
        <v>3233692.2848502761</v>
      </c>
      <c r="J17" s="12">
        <f t="shared" si="0"/>
        <v>698.95624407883111</v>
      </c>
      <c r="K17" s="1">
        <f t="shared" si="5"/>
        <v>1940275.537840331</v>
      </c>
      <c r="L17" s="1">
        <f t="shared" si="7"/>
        <v>1940275.537840331</v>
      </c>
      <c r="M17" s="14">
        <f t="shared" si="1"/>
        <v>2878.6488704236467</v>
      </c>
      <c r="N17" s="14">
        <f t="shared" si="1"/>
        <v>3233.6922848502759</v>
      </c>
      <c r="O17" s="14">
        <f t="shared" si="3"/>
        <v>1009.5074290327284</v>
      </c>
      <c r="P17" s="14">
        <f t="shared" si="2"/>
        <v>1940.275537840331</v>
      </c>
      <c r="Q17" s="14">
        <f t="shared" si="6"/>
        <v>3471.496576684604</v>
      </c>
      <c r="R17" s="7">
        <f t="shared" si="8"/>
        <v>0.82922417085395872</v>
      </c>
    </row>
    <row r="18" spans="1:18" ht="20.25" thickTop="1" thickBot="1">
      <c r="A18" s="23" t="s">
        <v>53</v>
      </c>
      <c r="B18" s="24">
        <f>MIN(B16,B11)</f>
        <v>1.1831619047619049</v>
      </c>
      <c r="F18" s="16"/>
      <c r="H18" s="33">
        <f>'V_1,1pu_DIG'!H18</f>
        <v>3100083.3989177733</v>
      </c>
      <c r="I18" s="8">
        <f t="shared" si="4"/>
        <v>2986130.5721509941</v>
      </c>
      <c r="J18" s="12">
        <f t="shared" si="0"/>
        <v>693.18060789175001</v>
      </c>
      <c r="K18" s="1">
        <f t="shared" si="5"/>
        <v>1914114.5223170277</v>
      </c>
      <c r="L18" s="1">
        <f t="shared" si="7"/>
        <v>1914114.5223170277</v>
      </c>
      <c r="M18" s="14">
        <f t="shared" si="1"/>
        <v>3100.0833989177731</v>
      </c>
      <c r="N18" s="14">
        <f t="shared" si="1"/>
        <v>2986.1305721509939</v>
      </c>
      <c r="O18" s="14">
        <f t="shared" si="3"/>
        <v>1001.2482692852025</v>
      </c>
      <c r="P18" s="14">
        <f t="shared" si="2"/>
        <v>1914.1145223170276</v>
      </c>
      <c r="Q18" s="14">
        <f t="shared" si="6"/>
        <v>3643.3983428648748</v>
      </c>
      <c r="R18" s="7">
        <f t="shared" si="8"/>
        <v>0.85087687570284098</v>
      </c>
    </row>
    <row r="19" spans="1:18" ht="16.5" thickTop="1" thickBot="1">
      <c r="A19" s="21"/>
      <c r="B19" s="20"/>
      <c r="F19" s="16"/>
      <c r="H19" s="33">
        <f>'V_1,1pu_DIG'!H19</f>
        <v>3321517.9274118999</v>
      </c>
      <c r="I19" s="8">
        <f t="shared" si="4"/>
        <v>2690147.2100897622</v>
      </c>
      <c r="J19" s="12">
        <f t="shared" si="0"/>
        <v>686.21148944694937</v>
      </c>
      <c r="K19" s="1">
        <f t="shared" si="5"/>
        <v>1885985.4768327847</v>
      </c>
      <c r="L19" s="1">
        <f t="shared" si="7"/>
        <v>1885985.4768327847</v>
      </c>
      <c r="M19" s="14">
        <f t="shared" si="1"/>
        <v>3321.5179274119</v>
      </c>
      <c r="N19" s="14">
        <f t="shared" si="1"/>
        <v>2690.1472100897622</v>
      </c>
      <c r="O19" s="14">
        <f t="shared" si="3"/>
        <v>991.28242990913759</v>
      </c>
      <c r="P19" s="14">
        <f t="shared" si="2"/>
        <v>1885.9854768327848</v>
      </c>
      <c r="Q19" s="14">
        <f t="shared" si="6"/>
        <v>3819.6102629643815</v>
      </c>
      <c r="R19" s="7">
        <f t="shared" si="8"/>
        <v>0.86959603172552102</v>
      </c>
    </row>
    <row r="20" spans="1:18" ht="16.5" thickTop="1" thickBot="1">
      <c r="A20" s="21" t="s">
        <v>36</v>
      </c>
      <c r="B20" s="4">
        <f>(D8-10)/1.43</f>
        <v>658.39160839160843</v>
      </c>
      <c r="F20" s="16"/>
      <c r="H20" s="33">
        <f>'V_1,1pu_DIG'!H20</f>
        <v>3542952.4559060265</v>
      </c>
      <c r="I20" s="8">
        <f t="shared" si="4"/>
        <v>2323093.4169503059</v>
      </c>
      <c r="J20" s="12">
        <f t="shared" si="0"/>
        <v>677.46940006988802</v>
      </c>
      <c r="K20" s="1">
        <f t="shared" si="5"/>
        <v>1855881.8192981277</v>
      </c>
      <c r="L20" s="1">
        <f t="shared" si="7"/>
        <v>1855881.8192981277</v>
      </c>
      <c r="M20" s="14">
        <f t="shared" si="1"/>
        <v>3542.9524559060264</v>
      </c>
      <c r="N20" s="14">
        <f t="shared" si="1"/>
        <v>2323.0934169503057</v>
      </c>
      <c r="O20" s="14">
        <f t="shared" si="3"/>
        <v>978.78124209993985</v>
      </c>
      <c r="P20" s="14">
        <f t="shared" si="2"/>
        <v>1855.8818192981278</v>
      </c>
      <c r="Q20" s="14">
        <f t="shared" si="6"/>
        <v>3999.6011591172278</v>
      </c>
      <c r="R20" s="7">
        <f t="shared" si="8"/>
        <v>0.88582643992632737</v>
      </c>
    </row>
    <row r="21" spans="1:18" ht="16.5" thickTop="1" thickBot="1">
      <c r="A21" s="21" t="s">
        <v>34</v>
      </c>
      <c r="B21" s="5">
        <f>IF(B25=1,(IF(B9*B10&gt;B18,B18,B9*B10))*Ii_r,B26)</f>
        <v>1242.3200000000002</v>
      </c>
      <c r="F21" s="16"/>
      <c r="H21" s="33">
        <f>'V_1,1pu_DIG'!H21</f>
        <v>3598311.0880295583</v>
      </c>
      <c r="I21" s="8">
        <f t="shared" si="4"/>
        <v>2215264.7239191569</v>
      </c>
      <c r="J21" s="12">
        <f t="shared" si="0"/>
        <v>674.87973383524798</v>
      </c>
      <c r="K21" s="1">
        <f t="shared" si="5"/>
        <v>1848046.5534677021</v>
      </c>
      <c r="L21" s="1">
        <f t="shared" si="7"/>
        <v>1848046.5534677021</v>
      </c>
      <c r="M21" s="14">
        <f t="shared" si="1"/>
        <v>3598.3110880295585</v>
      </c>
      <c r="N21" s="14">
        <f t="shared" si="1"/>
        <v>2215.2647239191569</v>
      </c>
      <c r="O21" s="14">
        <f t="shared" si="3"/>
        <v>975.07801938440457</v>
      </c>
      <c r="P21" s="14">
        <f t="shared" si="2"/>
        <v>1848.0465534677021</v>
      </c>
      <c r="Q21" s="14">
        <f t="shared" si="6"/>
        <v>4045.1351955182313</v>
      </c>
      <c r="R21" s="7">
        <f t="shared" si="8"/>
        <v>0.88954037729474966</v>
      </c>
    </row>
    <row r="22" spans="1:18" ht="20.25" thickTop="1" thickBot="1">
      <c r="A22" s="21" t="s">
        <v>59</v>
      </c>
      <c r="B22" s="1">
        <f>Nm*SQRT(3)*B3*Ii/K_3^2</f>
        <v>4026082.3362568491</v>
      </c>
      <c r="C22" s="25" t="s">
        <v>74</v>
      </c>
      <c r="D22" s="26">
        <f>B22/1000</f>
        <v>4026.082336256849</v>
      </c>
      <c r="F22" s="16"/>
      <c r="H22" s="33">
        <f>'V_1,1pu_DIG'!H22</f>
        <v>3653669.7201530901</v>
      </c>
      <c r="I22" s="8">
        <f t="shared" si="4"/>
        <v>2098622.7891639918</v>
      </c>
      <c r="J22" s="12">
        <f t="shared" si="0"/>
        <v>672.06716915324705</v>
      </c>
      <c r="K22" s="1">
        <f t="shared" si="5"/>
        <v>1840087.3190924954</v>
      </c>
      <c r="L22" s="1">
        <f t="shared" si="7"/>
        <v>1840087.3190924954</v>
      </c>
      <c r="M22" s="14">
        <f t="shared" si="1"/>
        <v>3653.6697201530901</v>
      </c>
      <c r="N22" s="14">
        <f t="shared" si="1"/>
        <v>2098.6227891639919</v>
      </c>
      <c r="O22" s="14">
        <f t="shared" si="3"/>
        <v>971.05605188914319</v>
      </c>
      <c r="P22" s="14">
        <f t="shared" si="2"/>
        <v>1840.0873190924954</v>
      </c>
      <c r="Q22" s="14">
        <f t="shared" si="6"/>
        <v>4090.8707833233461</v>
      </c>
      <c r="R22" s="7">
        <f t="shared" si="8"/>
        <v>0.89312762824175973</v>
      </c>
    </row>
    <row r="23" spans="1:18" ht="20.25" thickTop="1" thickBot="1">
      <c r="A23" s="21" t="s">
        <v>51</v>
      </c>
      <c r="B23" s="1">
        <f>B3*Ii*SQRT(3)*Nm</f>
        <v>4002276.1282216804</v>
      </c>
      <c r="C23" s="25" t="s">
        <v>52</v>
      </c>
      <c r="D23" s="26">
        <f>B23/1000</f>
        <v>4002.2761282216802</v>
      </c>
      <c r="F23" s="16"/>
      <c r="H23" s="33">
        <f>'V_1,1pu_DIG'!H23</f>
        <v>3709028.3522766219</v>
      </c>
      <c r="I23" s="8">
        <f t="shared" si="4"/>
        <v>1971159.9782019958</v>
      </c>
      <c r="J23" s="12">
        <f t="shared" si="0"/>
        <v>668.98016178585135</v>
      </c>
      <c r="K23" s="1">
        <f t="shared" si="5"/>
        <v>1832003.9987446647</v>
      </c>
      <c r="L23" s="1">
        <f t="shared" si="7"/>
        <v>1832003.9987446647</v>
      </c>
      <c r="M23" s="14">
        <f t="shared" si="1"/>
        <v>3709.0283522766217</v>
      </c>
      <c r="N23" s="14">
        <f t="shared" si="1"/>
        <v>1971.1599782019957</v>
      </c>
      <c r="O23" s="14">
        <f t="shared" si="3"/>
        <v>966.64163135376737</v>
      </c>
      <c r="P23" s="14">
        <f t="shared" si="2"/>
        <v>1832.0039987446646</v>
      </c>
      <c r="Q23" s="14">
        <f t="shared" si="6"/>
        <v>4136.8019011560455</v>
      </c>
      <c r="R23" s="7">
        <f t="shared" si="8"/>
        <v>0.89659317533191984</v>
      </c>
    </row>
    <row r="24" spans="1:18" ht="16.5" thickTop="1" thickBot="1">
      <c r="A24" s="27"/>
      <c r="F24" s="16"/>
      <c r="H24" s="33">
        <f>'V_1,1pu_DIG'!H24</f>
        <v>3764386.9844001536</v>
      </c>
      <c r="I24" s="8">
        <f t="shared" si="4"/>
        <v>1829910.8995781159</v>
      </c>
      <c r="J24" s="12">
        <f t="shared" si="0"/>
        <v>665.54254123193232</v>
      </c>
      <c r="K24" s="1">
        <f t="shared" si="5"/>
        <v>1823796.4730137791</v>
      </c>
      <c r="L24" s="1">
        <f t="shared" si="7"/>
        <v>1823796.4730137791</v>
      </c>
      <c r="M24" s="14">
        <f t="shared" si="1"/>
        <v>3764.3869844001538</v>
      </c>
      <c r="N24" s="14">
        <f t="shared" si="1"/>
        <v>1829.910899578116</v>
      </c>
      <c r="O24" s="14">
        <f t="shared" si="3"/>
        <v>961.72583396166317</v>
      </c>
      <c r="P24" s="14">
        <f t="shared" si="2"/>
        <v>1823.7964730137792</v>
      </c>
      <c r="Q24" s="14">
        <f t="shared" si="6"/>
        <v>4182.922775201424</v>
      </c>
      <c r="R24" s="7">
        <f t="shared" si="8"/>
        <v>0.89994178394050894</v>
      </c>
    </row>
    <row r="25" spans="1:18" ht="16.5" thickTop="1" thickBot="1">
      <c r="A25" s="3" t="s">
        <v>38</v>
      </c>
      <c r="B25" s="6">
        <f>Capability!B25</f>
        <v>1</v>
      </c>
      <c r="F25" s="16"/>
      <c r="H25" s="33">
        <f>'V_1,1pu_DIG'!H25</f>
        <v>3819745.6165236854</v>
      </c>
      <c r="I25" s="8">
        <f t="shared" si="4"/>
        <v>1670150.9224110707</v>
      </c>
      <c r="J25" s="12">
        <f t="shared" si="0"/>
        <v>661.63289072587168</v>
      </c>
      <c r="K25" s="1">
        <f t="shared" si="5"/>
        <v>1815464.6204977892</v>
      </c>
      <c r="L25" s="1">
        <f t="shared" si="7"/>
        <v>1670150.9224110707</v>
      </c>
      <c r="M25" s="14">
        <f t="shared" si="1"/>
        <v>3819.7456165236854</v>
      </c>
      <c r="N25" s="14">
        <f t="shared" si="1"/>
        <v>1670.1509224110707</v>
      </c>
      <c r="O25" s="14">
        <f t="shared" si="3"/>
        <v>956.13503373799642</v>
      </c>
      <c r="P25" s="14">
        <f t="shared" si="2"/>
        <v>1670.1509224110707</v>
      </c>
      <c r="Q25" s="14">
        <f t="shared" si="6"/>
        <v>4168.9160076190619</v>
      </c>
      <c r="R25" s="7">
        <f t="shared" si="8"/>
        <v>0.91624432095603825</v>
      </c>
    </row>
    <row r="26" spans="1:18" ht="16.5" thickTop="1" thickBot="1">
      <c r="A26" s="3" t="s">
        <v>25</v>
      </c>
      <c r="B26" s="6">
        <f>Capability!B26</f>
        <v>1250</v>
      </c>
      <c r="F26" s="16"/>
      <c r="H26" s="33">
        <f>'V_1,1pu_DIG'!H26</f>
        <v>3875104.2486472172</v>
      </c>
      <c r="I26" s="8">
        <f t="shared" si="4"/>
        <v>1483443.6695006192</v>
      </c>
      <c r="J26" s="12">
        <f t="shared" si="0"/>
        <v>657.03430521308701</v>
      </c>
      <c r="K26" s="1">
        <f t="shared" si="5"/>
        <v>1807008.3177937679</v>
      </c>
      <c r="L26" s="1">
        <f t="shared" si="7"/>
        <v>1483443.6695006192</v>
      </c>
      <c r="M26" s="14">
        <f t="shared" si="1"/>
        <v>3875.104248647217</v>
      </c>
      <c r="N26" s="14">
        <f t="shared" si="1"/>
        <v>1483.4436695006191</v>
      </c>
      <c r="O26" s="14">
        <f t="shared" si="3"/>
        <v>949.55905645471444</v>
      </c>
      <c r="P26" s="14">
        <f t="shared" si="2"/>
        <v>1483.4436695006191</v>
      </c>
      <c r="Q26" s="14">
        <f t="shared" si="6"/>
        <v>4149.3418825718827</v>
      </c>
      <c r="R26" s="7">
        <f t="shared" si="8"/>
        <v>0.93390816141795352</v>
      </c>
    </row>
    <row r="27" spans="1:18" ht="16.5" thickTop="1" thickBot="1">
      <c r="A27" s="27"/>
      <c r="F27" s="16"/>
      <c r="H27" s="33">
        <f>'V_1,1pu_DIG'!H27</f>
        <v>3930462.8807707489</v>
      </c>
      <c r="I27" s="8">
        <f t="shared" si="4"/>
        <v>1251484.7994531351</v>
      </c>
      <c r="J27" s="12">
        <f t="shared" si="0"/>
        <v>651.27594909970526</v>
      </c>
      <c r="K27" s="1">
        <f t="shared" si="5"/>
        <v>1798427.4394885115</v>
      </c>
      <c r="L27" s="1">
        <f t="shared" si="7"/>
        <v>1251484.7994531351</v>
      </c>
      <c r="M27" s="14">
        <f t="shared" si="1"/>
        <v>3930.4628807707491</v>
      </c>
      <c r="N27" s="14">
        <f t="shared" si="1"/>
        <v>1251.4847994531351</v>
      </c>
      <c r="O27" s="14">
        <f t="shared" si="3"/>
        <v>941.32460721257848</v>
      </c>
      <c r="P27" s="14">
        <f t="shared" si="2"/>
        <v>1251.4847994531351</v>
      </c>
      <c r="Q27" s="14">
        <f t="shared" si="6"/>
        <v>4124.8942605088614</v>
      </c>
      <c r="R27" s="7">
        <f t="shared" si="8"/>
        <v>0.95286391178567409</v>
      </c>
    </row>
    <row r="28" spans="1:18" ht="16.5" thickTop="1" thickBot="1">
      <c r="A28" s="27" t="s">
        <v>73</v>
      </c>
      <c r="F28" s="16"/>
      <c r="H28" s="33">
        <f>'V_1,1pu_DIG'!H28</f>
        <v>3985821.5128942807</v>
      </c>
      <c r="I28" s="8">
        <f t="shared" si="4"/>
        <v>912188.54530257289</v>
      </c>
      <c r="J28" s="12">
        <f t="shared" si="0"/>
        <v>642.76004052618873</v>
      </c>
      <c r="K28" s="1">
        <f t="shared" si="5"/>
        <v>1789721.8581489483</v>
      </c>
      <c r="L28" s="1">
        <f t="shared" si="7"/>
        <v>912188.54530257289</v>
      </c>
      <c r="M28" s="14">
        <f t="shared" si="1"/>
        <v>3985.8215128942807</v>
      </c>
      <c r="N28" s="14">
        <f t="shared" si="1"/>
        <v>912.18854530257295</v>
      </c>
      <c r="O28" s="14">
        <f t="shared" si="3"/>
        <v>929.14685795244986</v>
      </c>
      <c r="P28" s="14">
        <f t="shared" si="2"/>
        <v>912.18854530257295</v>
      </c>
      <c r="Q28" s="14">
        <f t="shared" si="6"/>
        <v>4088.8703910532645</v>
      </c>
      <c r="R28" s="7">
        <f t="shared" si="8"/>
        <v>0.97479771469781429</v>
      </c>
    </row>
    <row r="29" spans="1:18" ht="16.5" thickTop="1" thickBot="1">
      <c r="A29" s="3" t="s">
        <v>54</v>
      </c>
      <c r="B29" s="6">
        <f>Capability!B29</f>
        <v>2846</v>
      </c>
      <c r="C29" s="2">
        <f>IF(B29&gt;D23,D23,B29)</f>
        <v>2846</v>
      </c>
      <c r="F29" s="16"/>
      <c r="H29" s="33">
        <f>'V_1,1pu_DIG'!H29</f>
        <v>4041180.1450178125</v>
      </c>
      <c r="I29" s="8">
        <f t="shared" si="4"/>
        <v>436037.21221097274</v>
      </c>
      <c r="J29" s="12">
        <f t="shared" si="0"/>
        <v>630.73301549522103</v>
      </c>
      <c r="K29" s="1">
        <f t="shared" si="5"/>
        <v>1780891.4443123927</v>
      </c>
      <c r="L29" s="1">
        <f t="shared" si="7"/>
        <v>436037.21221097274</v>
      </c>
      <c r="M29" s="14">
        <f t="shared" si="1"/>
        <v>4041.1801450178127</v>
      </c>
      <c r="N29" s="14">
        <f t="shared" si="1"/>
        <v>436.03721221097271</v>
      </c>
      <c r="O29" s="14">
        <f t="shared" si="3"/>
        <v>911.94821215816603</v>
      </c>
      <c r="P29" s="14">
        <f t="shared" si="2"/>
        <v>436.03721221097271</v>
      </c>
      <c r="Q29" s="14">
        <f t="shared" si="6"/>
        <v>4064.6359510931488</v>
      </c>
      <c r="R29" s="7">
        <f t="shared" si="8"/>
        <v>0.99422929719719966</v>
      </c>
    </row>
    <row r="30" spans="1:18" ht="16.5" thickTop="1" thickBot="1">
      <c r="A30" s="27"/>
      <c r="B30" s="1" t="s">
        <v>69</v>
      </c>
      <c r="C30" s="1">
        <f xml:space="preserve"> Nm/1000*(-SQRT(3/K_3^2*Ii^2*B3^2-($C$29*1000/Nm)^2)+B3^2*K_4/K_3)</f>
        <v>-2394.824357109534</v>
      </c>
      <c r="F30" s="16"/>
      <c r="H30" s="33">
        <f>'V_1,1pu_DIG'!H30</f>
        <v>4096538.7771413443</v>
      </c>
      <c r="I30" s="8">
        <f t="shared" si="4"/>
        <v>436037.21221097274</v>
      </c>
      <c r="J30" s="12">
        <f t="shared" si="0"/>
        <v>630.97651957215521</v>
      </c>
      <c r="K30" s="1">
        <f t="shared" si="5"/>
        <v>1771936.0664766021</v>
      </c>
      <c r="L30" s="1">
        <f t="shared" si="7"/>
        <v>436037.21221097274</v>
      </c>
      <c r="M30" s="14">
        <f t="shared" si="1"/>
        <v>4096.5387771413443</v>
      </c>
      <c r="N30" s="14">
        <f t="shared" si="1"/>
        <v>436.03721221097271</v>
      </c>
      <c r="O30" s="14">
        <f t="shared" si="3"/>
        <v>912.29642298818192</v>
      </c>
      <c r="P30" s="14">
        <f t="shared" si="2"/>
        <v>436.03721221097271</v>
      </c>
      <c r="Q30" s="14">
        <f t="shared" si="6"/>
        <v>4119.6794053731192</v>
      </c>
      <c r="R30" s="7">
        <f t="shared" si="8"/>
        <v>0.99438290557231379</v>
      </c>
    </row>
    <row r="31" spans="1:18" ht="16.5" thickTop="1" thickBot="1">
      <c r="A31" s="27"/>
      <c r="B31" s="1" t="s">
        <v>68</v>
      </c>
      <c r="C31" s="1">
        <f>IF(ABS( Nm/1000*(SQRT(3/K_3^2*Ii^2*B3^2-($C$29*1000/Nm)^2)+B3^2*K_4/K_3))&lt;ABS(Nm/1000*(SQRT(Vi^2*B3^2/K_2^2-($C$29*1000/Nm)^2)-B3^2*K_1/K_2)),Nm/1000*(SQRT(3/K_3^2*Ii^2*B3^2-($C$29*1000/Nm)^2)+B3^2*K_4/K_3), Nm/1000*(SQRT(Vi^2*B3^2/K_2^2-($C$29*1000/Nm)^2)-B3^2*K_1/K_2))</f>
        <v>1943.9666823771895</v>
      </c>
      <c r="F31" s="16"/>
      <c r="H31" s="33">
        <f>'V_1,1pu_DIG'!H31</f>
        <v>4151897.409264876</v>
      </c>
      <c r="I31" s="8">
        <f t="shared" si="4"/>
        <v>436037.21221097274</v>
      </c>
      <c r="J31" s="12">
        <f t="shared" si="0"/>
        <v>631.22324076854716</v>
      </c>
      <c r="K31" s="1">
        <f t="shared" si="5"/>
        <v>1762855.5910896566</v>
      </c>
      <c r="L31" s="1">
        <f t="shared" si="7"/>
        <v>436037.21221097274</v>
      </c>
      <c r="M31" s="14">
        <f t="shared" si="1"/>
        <v>4151.8974092648759</v>
      </c>
      <c r="N31" s="14">
        <f t="shared" si="1"/>
        <v>436.03721221097271</v>
      </c>
      <c r="O31" s="14">
        <f t="shared" si="3"/>
        <v>912.6492342990224</v>
      </c>
      <c r="P31" s="14">
        <f t="shared" si="2"/>
        <v>436.03721221097271</v>
      </c>
      <c r="Q31" s="14">
        <f t="shared" si="6"/>
        <v>4174.7311946391364</v>
      </c>
      <c r="R31" s="7">
        <f t="shared" si="8"/>
        <v>0.9945304776979218</v>
      </c>
    </row>
    <row r="32" spans="1:18" ht="16.5" thickTop="1" thickBot="1">
      <c r="A32" s="3" t="s">
        <v>55</v>
      </c>
      <c r="B32" s="6">
        <f>Capability!B32</f>
        <v>0</v>
      </c>
      <c r="C32" s="2">
        <f>IF(B32&lt;C30,C30,IF(B32&gt;C31,C31,B32))</f>
        <v>0</v>
      </c>
      <c r="F32" s="16"/>
      <c r="H32" s="33">
        <f>'V_1,1pu_DIG'!H32</f>
        <v>4207256.0413884073</v>
      </c>
      <c r="I32" s="8">
        <f t="shared" si="4"/>
        <v>436037.21221097274</v>
      </c>
      <c r="J32" s="12">
        <f t="shared" si="0"/>
        <v>631.47317531354031</v>
      </c>
      <c r="K32" s="1">
        <f t="shared" si="5"/>
        <v>1753649.8825396746</v>
      </c>
      <c r="L32" s="1">
        <f t="shared" si="7"/>
        <v>436037.21221097274</v>
      </c>
      <c r="M32" s="14">
        <f t="shared" si="1"/>
        <v>4207.2560413884075</v>
      </c>
      <c r="N32" s="14">
        <f t="shared" si="1"/>
        <v>436.03721221097271</v>
      </c>
      <c r="O32" s="14">
        <f t="shared" si="3"/>
        <v>913.00664069836262</v>
      </c>
      <c r="P32" s="14">
        <f t="shared" si="2"/>
        <v>436.03721221097271</v>
      </c>
      <c r="Q32" s="14">
        <f t="shared" si="6"/>
        <v>4229.7909934454174</v>
      </c>
      <c r="R32" s="7">
        <f t="shared" si="8"/>
        <v>0.99467232492292634</v>
      </c>
    </row>
    <row r="33" spans="1:18" ht="16.5" thickTop="1" thickBot="1">
      <c r="A33" s="21" t="s">
        <v>56</v>
      </c>
      <c r="B33" s="1">
        <f>C29/SQRT(C29^2+C32^2)</f>
        <v>1</v>
      </c>
      <c r="C33" s="1" t="s">
        <v>60</v>
      </c>
      <c r="D33" s="1">
        <f>SQRT(C29^2+C32^2)/(SQRT(3)*B3)*1000</f>
        <v>2650.2239776027013</v>
      </c>
      <c r="F33" s="16"/>
      <c r="H33" s="33">
        <f>'V_1,1pu_DIG'!H33</f>
        <v>4262614.6735119391</v>
      </c>
      <c r="I33" s="8">
        <f t="shared" si="4"/>
        <v>436037.21221097274</v>
      </c>
      <c r="J33" s="12">
        <f t="shared" si="0"/>
        <v>631.72631939317239</v>
      </c>
      <c r="K33" s="1">
        <f t="shared" si="5"/>
        <v>1744318.8031443162</v>
      </c>
      <c r="L33" s="1">
        <f t="shared" si="7"/>
        <v>436037.21221097274</v>
      </c>
      <c r="M33" s="14">
        <f t="shared" si="1"/>
        <v>4262.6146735119391</v>
      </c>
      <c r="N33" s="14">
        <f t="shared" si="1"/>
        <v>436.03721221097271</v>
      </c>
      <c r="O33" s="14">
        <f t="shared" si="3"/>
        <v>913.3686367322365</v>
      </c>
      <c r="P33" s="14">
        <f t="shared" si="2"/>
        <v>436.03721221097271</v>
      </c>
      <c r="Q33" s="14">
        <f t="shared" si="6"/>
        <v>4284.8584930277466</v>
      </c>
      <c r="R33" s="7">
        <f t="shared" si="8"/>
        <v>0.99480873882953147</v>
      </c>
    </row>
    <row r="34" spans="1:18" ht="20.25" thickTop="1" thickBot="1">
      <c r="A34" s="23" t="s">
        <v>57</v>
      </c>
      <c r="B34" s="25">
        <f>Vdc_offset+Vac_to_Vdc*SQRT(3)*SQRT(K_1^2*B3^2/3+K_2^2/3*($C$29^2+$C$32^2)*1000^2/B3^2/Nm^2+2/3*K_1*K_2*$C$32*1000/Nm)</f>
        <v>889.39553148956304</v>
      </c>
      <c r="F34" s="16"/>
      <c r="H34" s="33">
        <f>'V_1,1pu_DIG'!H34</f>
        <v>4317973.3056354709</v>
      </c>
      <c r="I34" s="8">
        <f t="shared" si="4"/>
        <v>436037.21221097274</v>
      </c>
      <c r="J34" s="12">
        <f t="shared" si="0"/>
        <v>631.98266915065381</v>
      </c>
      <c r="K34" s="1">
        <f t="shared" si="5"/>
        <v>1734862.2131401291</v>
      </c>
      <c r="L34" s="1">
        <f t="shared" si="7"/>
        <v>436037.21221097274</v>
      </c>
      <c r="M34" s="14">
        <f t="shared" si="1"/>
        <v>4317.9733056354708</v>
      </c>
      <c r="N34" s="14">
        <f t="shared" si="1"/>
        <v>436.03721221097271</v>
      </c>
      <c r="O34" s="14">
        <f t="shared" si="3"/>
        <v>913.73521688543485</v>
      </c>
      <c r="P34" s="14">
        <f t="shared" si="2"/>
        <v>436.03721221097271</v>
      </c>
      <c r="Q34" s="14">
        <f t="shared" si="6"/>
        <v>4339.9334002508876</v>
      </c>
      <c r="R34" s="7">
        <f t="shared" si="8"/>
        <v>0.99493999271644418</v>
      </c>
    </row>
    <row r="35" spans="1:18" ht="16.5" thickTop="1" thickBot="1">
      <c r="A35" s="21" t="s">
        <v>58</v>
      </c>
      <c r="B35" s="1">
        <f>SQRT(3)*SQRT(K_1^2*B3^2/3+K_2^2/3*($C$29^2+$C$32^2)*1000^2/B3^2/Nm^2+2/3*K_1*K_2*$C$32*1000/Nm)</f>
        <v>614.96191013256146</v>
      </c>
      <c r="F35" s="16"/>
      <c r="H35" s="33">
        <f>'V_1,1pu_DIG'!H35</f>
        <v>4373331.9377590027</v>
      </c>
      <c r="I35" s="8">
        <f t="shared" si="4"/>
        <v>436037.21221097274</v>
      </c>
      <c r="J35" s="12">
        <f t="shared" si="0"/>
        <v>632.24222068664972</v>
      </c>
      <c r="K35" s="1">
        <f t="shared" si="5"/>
        <v>1725279.9706716919</v>
      </c>
      <c r="L35" s="1">
        <f t="shared" si="7"/>
        <v>436037.21221097274</v>
      </c>
      <c r="M35" s="14">
        <f t="shared" si="1"/>
        <v>4373.3319377590024</v>
      </c>
      <c r="N35" s="14">
        <f t="shared" si="1"/>
        <v>436.03721221097271</v>
      </c>
      <c r="O35" s="14">
        <f t="shared" si="3"/>
        <v>914.10637558190911</v>
      </c>
      <c r="P35" s="14">
        <f t="shared" si="2"/>
        <v>436.03721221097271</v>
      </c>
      <c r="Q35" s="14">
        <f t="shared" si="6"/>
        <v>4395.0154366345096</v>
      </c>
      <c r="R35" s="7">
        <f t="shared" si="8"/>
        <v>0.99506634295416463</v>
      </c>
    </row>
    <row r="36" spans="1:18" ht="16.5" thickTop="1" thickBot="1">
      <c r="F36" s="16"/>
      <c r="H36" s="33">
        <f>'V_1,1pu_DIG'!H36</f>
        <v>4428690.5698825344</v>
      </c>
      <c r="I36" s="8">
        <f t="shared" si="4"/>
        <v>436037.21221097274</v>
      </c>
      <c r="J36" s="12">
        <f t="shared" si="0"/>
        <v>632.50497005956322</v>
      </c>
      <c r="K36" s="1">
        <f t="shared" si="5"/>
        <v>1715571.9317805804</v>
      </c>
      <c r="L36" s="1">
        <f t="shared" si="7"/>
        <v>436037.21221097274</v>
      </c>
      <c r="M36" s="14">
        <f t="shared" si="1"/>
        <v>4428.6905698825349</v>
      </c>
      <c r="N36" s="14">
        <f t="shared" si="1"/>
        <v>436.03721221097271</v>
      </c>
      <c r="O36" s="14">
        <f t="shared" si="3"/>
        <v>914.48210718517532</v>
      </c>
      <c r="P36" s="14">
        <f t="shared" si="2"/>
        <v>436.03721221097271</v>
      </c>
      <c r="Q36" s="14">
        <f t="shared" si="6"/>
        <v>4450.1043374508881</v>
      </c>
      <c r="R36" s="7">
        <f t="shared" si="8"/>
        <v>0.99518803022478808</v>
      </c>
    </row>
    <row r="37" spans="1:18" ht="16.5" thickTop="1" thickBot="1">
      <c r="F37" s="16"/>
      <c r="H37" s="33">
        <f>'V_1,1pu_DIG'!H37</f>
        <v>4373331.9377590027</v>
      </c>
      <c r="I37" s="8">
        <f t="shared" ref="I37:I56" si="9">Nm*(-SQRT(IF(3/K_3^2*Ii^2*Vo^2-(H37/Nm)^2&lt;0.0000000001,0,3/K_3^2*Ii^2*Vo^2-(H37/Nm)^2))+Vo^2/K_3*K_4)</f>
        <v>436037.21221097274</v>
      </c>
      <c r="J37" s="12">
        <f t="shared" si="0"/>
        <v>632.24222068664972</v>
      </c>
      <c r="K37" s="1">
        <f t="shared" ref="K37:K56" si="10">Nm*(-SQRT(Vi^2*Vo^2/K_2^2-(H37/Nm)^2)-Vo^2*K_1/K_2)</f>
        <v>-48476637.98916851</v>
      </c>
      <c r="L37" s="1">
        <f t="shared" si="7"/>
        <v>436037.21221097274</v>
      </c>
      <c r="M37" s="14">
        <f t="shared" si="1"/>
        <v>4373.3319377590024</v>
      </c>
      <c r="N37" s="14">
        <f t="shared" si="1"/>
        <v>436.03721221097271</v>
      </c>
      <c r="O37" s="14">
        <f t="shared" si="3"/>
        <v>914.10637558190911</v>
      </c>
      <c r="P37" s="14">
        <f t="shared" si="2"/>
        <v>436.03721221097271</v>
      </c>
      <c r="Q37" s="14">
        <f t="shared" si="6"/>
        <v>4395.0154366345096</v>
      </c>
      <c r="R37" s="7">
        <f t="shared" si="8"/>
        <v>0.99506634295416463</v>
      </c>
    </row>
    <row r="38" spans="1:18" ht="16.5" thickTop="1" thickBot="1">
      <c r="F38" s="16"/>
      <c r="H38" s="33">
        <f>'V_1,1pu_DIG'!H38</f>
        <v>4317973.3056354709</v>
      </c>
      <c r="I38" s="8">
        <f t="shared" si="9"/>
        <v>436037.21221097274</v>
      </c>
      <c r="J38" s="12">
        <f t="shared" si="0"/>
        <v>631.98266915065381</v>
      </c>
      <c r="K38" s="1">
        <f t="shared" si="10"/>
        <v>-48486220.231636941</v>
      </c>
      <c r="L38" s="1">
        <f t="shared" si="7"/>
        <v>436037.21221097274</v>
      </c>
      <c r="M38" s="14">
        <f t="shared" si="1"/>
        <v>4317.9733056354708</v>
      </c>
      <c r="N38" s="14">
        <f t="shared" si="1"/>
        <v>436.03721221097271</v>
      </c>
      <c r="O38" s="14">
        <f t="shared" si="3"/>
        <v>913.73521688543485</v>
      </c>
      <c r="P38" s="14">
        <f t="shared" si="2"/>
        <v>436.03721221097271</v>
      </c>
      <c r="Q38" s="14">
        <f t="shared" si="6"/>
        <v>4339.9334002508876</v>
      </c>
      <c r="R38" s="7">
        <f t="shared" si="8"/>
        <v>0.99493999271644418</v>
      </c>
    </row>
    <row r="39" spans="1:18" ht="16.5" thickTop="1" thickBot="1">
      <c r="F39" s="16"/>
      <c r="H39" s="33">
        <f>'V_1,1pu_DIG'!H39</f>
        <v>4262614.6735119391</v>
      </c>
      <c r="I39" s="8">
        <f t="shared" si="9"/>
        <v>436037.21221097274</v>
      </c>
      <c r="J39" s="12">
        <f t="shared" si="0"/>
        <v>631.72631939317239</v>
      </c>
      <c r="K39" s="1">
        <f t="shared" si="10"/>
        <v>-48495676.821641132</v>
      </c>
      <c r="L39" s="1">
        <f t="shared" si="7"/>
        <v>436037.21221097274</v>
      </c>
      <c r="M39" s="14">
        <f t="shared" si="1"/>
        <v>4262.6146735119391</v>
      </c>
      <c r="N39" s="14">
        <f t="shared" si="1"/>
        <v>436.03721221097271</v>
      </c>
      <c r="O39" s="14">
        <f t="shared" si="3"/>
        <v>913.3686367322365</v>
      </c>
      <c r="P39" s="14">
        <f t="shared" si="2"/>
        <v>436.03721221097271</v>
      </c>
      <c r="Q39" s="14">
        <f t="shared" si="6"/>
        <v>4284.8584930277466</v>
      </c>
      <c r="R39" s="7">
        <f t="shared" si="8"/>
        <v>0.99480873882953147</v>
      </c>
    </row>
    <row r="40" spans="1:18" ht="16.5" thickTop="1" thickBot="1">
      <c r="F40" s="16"/>
      <c r="H40" s="33">
        <f>'V_1,1pu_DIG'!H40</f>
        <v>4207256.0413884073</v>
      </c>
      <c r="I40" s="8">
        <f t="shared" si="9"/>
        <v>436037.21221097274</v>
      </c>
      <c r="J40" s="12">
        <f t="shared" si="0"/>
        <v>631.47317531354031</v>
      </c>
      <c r="K40" s="1">
        <f t="shared" si="10"/>
        <v>-48505007.901036486</v>
      </c>
      <c r="L40" s="1">
        <f t="shared" si="7"/>
        <v>436037.21221097274</v>
      </c>
      <c r="M40" s="14">
        <f t="shared" si="1"/>
        <v>4207.2560413884075</v>
      </c>
      <c r="N40" s="14">
        <f t="shared" si="1"/>
        <v>436.03721221097271</v>
      </c>
      <c r="O40" s="14">
        <f t="shared" si="3"/>
        <v>913.00664069836262</v>
      </c>
      <c r="P40" s="14">
        <f t="shared" si="2"/>
        <v>436.03721221097271</v>
      </c>
      <c r="Q40" s="14">
        <f t="shared" si="6"/>
        <v>4229.7909934454174</v>
      </c>
      <c r="R40" s="7">
        <f t="shared" si="8"/>
        <v>0.99467232492292634</v>
      </c>
    </row>
    <row r="41" spans="1:18" ht="16.5" thickTop="1" thickBot="1">
      <c r="F41" s="16"/>
      <c r="H41" s="33">
        <f>'V_1,1pu_DIG'!H41</f>
        <v>4151897.4092648756</v>
      </c>
      <c r="I41" s="8">
        <f t="shared" si="9"/>
        <v>436037.21221097274</v>
      </c>
      <c r="J41" s="12">
        <f t="shared" si="0"/>
        <v>631.22324076854716</v>
      </c>
      <c r="K41" s="1">
        <f t="shared" si="10"/>
        <v>-48514213.60958647</v>
      </c>
      <c r="L41" s="1">
        <f t="shared" si="7"/>
        <v>436037.21221097274</v>
      </c>
      <c r="M41" s="14">
        <f t="shared" si="1"/>
        <v>4151.8974092648759</v>
      </c>
      <c r="N41" s="14">
        <f t="shared" si="1"/>
        <v>436.03721221097271</v>
      </c>
      <c r="O41" s="14">
        <f t="shared" si="3"/>
        <v>912.6492342990224</v>
      </c>
      <c r="P41" s="14">
        <f t="shared" si="2"/>
        <v>436.03721221097271</v>
      </c>
      <c r="Q41" s="14">
        <f t="shared" si="6"/>
        <v>4174.7311946391364</v>
      </c>
      <c r="R41" s="7">
        <f t="shared" si="8"/>
        <v>0.9945304776979218</v>
      </c>
    </row>
    <row r="42" spans="1:18" ht="16.5" thickTop="1" thickBot="1">
      <c r="F42" s="16"/>
      <c r="H42" s="33">
        <f>'V_1,1pu_DIG'!H42</f>
        <v>4096538.7771413438</v>
      </c>
      <c r="I42" s="8">
        <f t="shared" si="9"/>
        <v>436037.21221097274</v>
      </c>
      <c r="J42" s="12">
        <f t="shared" si="0"/>
        <v>630.97651957215521</v>
      </c>
      <c r="K42" s="1">
        <f t="shared" si="10"/>
        <v>-48523294.084973417</v>
      </c>
      <c r="L42" s="1">
        <f t="shared" si="7"/>
        <v>436037.21221097274</v>
      </c>
      <c r="M42" s="14">
        <f t="shared" si="1"/>
        <v>4096.5387771413434</v>
      </c>
      <c r="N42" s="14">
        <f t="shared" si="1"/>
        <v>436.03721221097271</v>
      </c>
      <c r="O42" s="14">
        <f t="shared" si="3"/>
        <v>912.29642298818192</v>
      </c>
      <c r="P42" s="14">
        <f t="shared" si="2"/>
        <v>436.03721221097271</v>
      </c>
      <c r="Q42" s="14">
        <f t="shared" si="6"/>
        <v>4119.6794053731182</v>
      </c>
      <c r="R42" s="7">
        <f t="shared" si="8"/>
        <v>0.99438290557231379</v>
      </c>
    </row>
    <row r="43" spans="1:18" ht="16.5" thickTop="1" thickBot="1">
      <c r="F43" s="16"/>
      <c r="H43" s="33">
        <f>'V_1,1pu_DIG'!H43</f>
        <v>4041180.145017812</v>
      </c>
      <c r="I43" s="8">
        <f t="shared" si="9"/>
        <v>436037.21221097274</v>
      </c>
      <c r="J43" s="12">
        <f t="shared" si="0"/>
        <v>630.73301549522103</v>
      </c>
      <c r="K43" s="1">
        <f t="shared" si="10"/>
        <v>-48532249.462809205</v>
      </c>
      <c r="L43" s="1">
        <f t="shared" si="7"/>
        <v>436037.21221097274</v>
      </c>
      <c r="M43" s="14">
        <f t="shared" si="1"/>
        <v>4041.1801450178118</v>
      </c>
      <c r="N43" s="14">
        <f t="shared" si="1"/>
        <v>436.03721221097271</v>
      </c>
      <c r="O43" s="14">
        <f t="shared" si="3"/>
        <v>911.94821215816603</v>
      </c>
      <c r="P43" s="14">
        <f t="shared" si="2"/>
        <v>436.03721221097271</v>
      </c>
      <c r="Q43" s="14">
        <f t="shared" si="6"/>
        <v>4064.6359510931479</v>
      </c>
      <c r="R43" s="7">
        <f t="shared" si="8"/>
        <v>0.99422929719719966</v>
      </c>
    </row>
    <row r="44" spans="1:18" ht="16.5" thickTop="1" thickBot="1">
      <c r="F44" s="16"/>
      <c r="H44" s="33">
        <f>'V_1,1pu_DIG'!H44</f>
        <v>3985821.5128942803</v>
      </c>
      <c r="I44" s="8">
        <f t="shared" si="9"/>
        <v>-40114.12088063432</v>
      </c>
      <c r="J44" s="12">
        <f t="shared" si="0"/>
        <v>618.23211058077266</v>
      </c>
      <c r="K44" s="1">
        <f t="shared" si="10"/>
        <v>-48541079.876645766</v>
      </c>
      <c r="L44" s="1">
        <f t="shared" si="7"/>
        <v>-40114.12088063432</v>
      </c>
      <c r="M44" s="14">
        <f t="shared" si="1"/>
        <v>3985.8215128942802</v>
      </c>
      <c r="N44" s="14">
        <f t="shared" si="1"/>
        <v>-40.114120880634317</v>
      </c>
      <c r="O44" s="14">
        <f t="shared" si="3"/>
        <v>894.07191813050486</v>
      </c>
      <c r="P44" s="14">
        <f t="shared" si="2"/>
        <v>-40.114120880634317</v>
      </c>
      <c r="Q44" s="14">
        <f t="shared" si="6"/>
        <v>3986.0233661313218</v>
      </c>
      <c r="R44" s="7">
        <f t="shared" si="8"/>
        <v>0.99994935974566612</v>
      </c>
    </row>
    <row r="45" spans="1:18" ht="16.5" thickTop="1" thickBot="1">
      <c r="F45" s="16"/>
      <c r="H45" s="33">
        <f>'V_1,1pu_DIG'!H45</f>
        <v>3930462.8807707485</v>
      </c>
      <c r="I45" s="8">
        <f t="shared" si="9"/>
        <v>-379410.3750311936</v>
      </c>
      <c r="J45" s="12">
        <f t="shared" si="0"/>
        <v>609.25450377872676</v>
      </c>
      <c r="K45" s="1">
        <f t="shared" si="10"/>
        <v>-48549785.457985327</v>
      </c>
      <c r="L45" s="1">
        <f t="shared" ref="L45:L56" si="11">IF(ABS(I45)&lt;ABS(K45),I45,K45)</f>
        <v>-379410.3750311936</v>
      </c>
      <c r="M45" s="14">
        <f t="shared" ref="M45:M56" si="12">H45/1000</f>
        <v>3930.4628807707486</v>
      </c>
      <c r="N45" s="14">
        <f t="shared" ref="N45:N56" si="13">I45/1000</f>
        <v>-379.41037503119361</v>
      </c>
      <c r="O45" s="14">
        <f t="shared" ref="O45:O56" si="14">J45*1.43+10</f>
        <v>881.23394040357925</v>
      </c>
      <c r="P45" s="14">
        <f t="shared" ref="P45:P56" si="15">L45/1000</f>
        <v>-379.41037503119361</v>
      </c>
      <c r="Q45" s="14">
        <f t="shared" ref="Q45:Q56" si="16">SQRT(M45^2+P45^2)</f>
        <v>3948.7327954418497</v>
      </c>
      <c r="R45" s="7">
        <f t="shared" ref="R45:R56" si="17">M45/SQRT(M45^2+P45^2)</f>
        <v>0.99537322082360435</v>
      </c>
    </row>
    <row r="46" spans="1:18" ht="16.5" thickTop="1" thickBot="1">
      <c r="F46" s="16"/>
      <c r="H46" s="33">
        <f>'V_1,1pu_DIG'!H46</f>
        <v>3875104.2486472167</v>
      </c>
      <c r="I46" s="8">
        <f t="shared" si="9"/>
        <v>-611369.24507867382</v>
      </c>
      <c r="J46" s="12">
        <f t="shared" si="0"/>
        <v>603.04007663134678</v>
      </c>
      <c r="K46" s="1">
        <f t="shared" si="10"/>
        <v>-48558366.336290583</v>
      </c>
      <c r="L46" s="1">
        <f t="shared" si="11"/>
        <v>-611369.24507867382</v>
      </c>
      <c r="M46" s="14">
        <f t="shared" si="12"/>
        <v>3875.1042486472165</v>
      </c>
      <c r="N46" s="14">
        <f t="shared" si="13"/>
        <v>-611.36924507867377</v>
      </c>
      <c r="O46" s="14">
        <f t="shared" si="14"/>
        <v>872.3473095828258</v>
      </c>
      <c r="P46" s="14">
        <f t="shared" si="15"/>
        <v>-611.36924507867377</v>
      </c>
      <c r="Q46" s="14">
        <f t="shared" si="16"/>
        <v>3923.0352141819699</v>
      </c>
      <c r="R46" s="7">
        <f t="shared" si="17"/>
        <v>0.98778217300689009</v>
      </c>
    </row>
    <row r="47" spans="1:18" ht="16.5" thickTop="1" thickBot="1">
      <c r="F47" s="16"/>
      <c r="H47" s="33">
        <f>'V_1,1pu_DIG'!H47</f>
        <v>3819745.6165236849</v>
      </c>
      <c r="I47" s="8">
        <f t="shared" si="9"/>
        <v>-798076.49798912718</v>
      </c>
      <c r="J47" s="12">
        <f t="shared" si="0"/>
        <v>597.99107866264308</v>
      </c>
      <c r="K47" s="1">
        <f t="shared" si="10"/>
        <v>-48566822.638994604</v>
      </c>
      <c r="L47" s="1">
        <f t="shared" si="11"/>
        <v>-798076.49798912718</v>
      </c>
      <c r="M47" s="14">
        <f t="shared" si="12"/>
        <v>3819.7456165236849</v>
      </c>
      <c r="N47" s="14">
        <f t="shared" si="13"/>
        <v>-798.07649798912723</v>
      </c>
      <c r="O47" s="14">
        <f t="shared" si="14"/>
        <v>865.12724248757957</v>
      </c>
      <c r="P47" s="14">
        <f t="shared" si="15"/>
        <v>-798.07649798912723</v>
      </c>
      <c r="Q47" s="14">
        <f t="shared" si="16"/>
        <v>3902.2279112827964</v>
      </c>
      <c r="R47" s="7">
        <f t="shared" si="17"/>
        <v>0.97886276849165466</v>
      </c>
    </row>
    <row r="48" spans="1:18" ht="16.5" thickTop="1" thickBot="1">
      <c r="F48" s="16"/>
      <c r="H48" s="33">
        <f>'V_1,1pu_DIG'!H48</f>
        <v>3764386.9844001532</v>
      </c>
      <c r="I48" s="8">
        <f t="shared" si="9"/>
        <v>-957836.47515617195</v>
      </c>
      <c r="J48" s="12">
        <f t="shared" si="0"/>
        <v>593.63670545286061</v>
      </c>
      <c r="K48" s="1">
        <f t="shared" si="10"/>
        <v>-48575154.491510592</v>
      </c>
      <c r="L48" s="1">
        <f t="shared" si="11"/>
        <v>-957836.47515617195</v>
      </c>
      <c r="M48" s="14">
        <f t="shared" si="12"/>
        <v>3764.3869844001533</v>
      </c>
      <c r="N48" s="14">
        <f t="shared" si="13"/>
        <v>-957.8364751561719</v>
      </c>
      <c r="O48" s="14">
        <f t="shared" si="14"/>
        <v>858.90048879759058</v>
      </c>
      <c r="P48" s="14">
        <f t="shared" si="15"/>
        <v>-957.8364751561719</v>
      </c>
      <c r="Q48" s="14">
        <f t="shared" si="16"/>
        <v>3884.3352174420888</v>
      </c>
      <c r="R48" s="7">
        <f t="shared" si="17"/>
        <v>0.96912000990457159</v>
      </c>
    </row>
    <row r="49" spans="6:18" ht="16.5" thickTop="1" thickBot="1">
      <c r="F49" s="16"/>
      <c r="H49" s="33">
        <f>'V_1,1pu_DIG'!H49</f>
        <v>3709028.3522766214</v>
      </c>
      <c r="I49" s="8">
        <f t="shared" si="9"/>
        <v>-1099085.5537800505</v>
      </c>
      <c r="J49" s="12">
        <f t="shared" si="0"/>
        <v>589.76008290436278</v>
      </c>
      <c r="K49" s="1">
        <f t="shared" si="10"/>
        <v>-48583362.017241478</v>
      </c>
      <c r="L49" s="1">
        <f t="shared" si="11"/>
        <v>-1099085.5537800505</v>
      </c>
      <c r="M49" s="14">
        <f t="shared" si="12"/>
        <v>3709.0283522766213</v>
      </c>
      <c r="N49" s="14">
        <f t="shared" si="13"/>
        <v>-1099.0855537800505</v>
      </c>
      <c r="O49" s="14">
        <f t="shared" si="14"/>
        <v>853.35691855323876</v>
      </c>
      <c r="P49" s="14">
        <f t="shared" si="15"/>
        <v>-1099.0855537800505</v>
      </c>
      <c r="Q49" s="14">
        <f t="shared" si="16"/>
        <v>3868.4467648553505</v>
      </c>
      <c r="R49" s="7">
        <f t="shared" si="17"/>
        <v>0.95879007201881705</v>
      </c>
    </row>
    <row r="50" spans="6:18" ht="16.5" thickTop="1" thickBot="1">
      <c r="F50" s="16"/>
      <c r="H50" s="33">
        <f>'V_1,1pu_DIG'!H50</f>
        <v>3653669.7201530896</v>
      </c>
      <c r="I50" s="8">
        <f t="shared" si="9"/>
        <v>-1226548.3647420474</v>
      </c>
      <c r="J50" s="12">
        <f t="shared" si="0"/>
        <v>586.23982498353473</v>
      </c>
      <c r="K50" s="1">
        <f t="shared" si="10"/>
        <v>-48591445.337589309</v>
      </c>
      <c r="L50" s="1">
        <f t="shared" si="11"/>
        <v>-1226548.3647420474</v>
      </c>
      <c r="M50" s="14">
        <f t="shared" si="12"/>
        <v>3653.6697201530897</v>
      </c>
      <c r="N50" s="14">
        <f t="shared" si="13"/>
        <v>-1226.5483647420474</v>
      </c>
      <c r="O50" s="14">
        <f t="shared" si="14"/>
        <v>848.32294972645468</v>
      </c>
      <c r="P50" s="14">
        <f t="shared" si="15"/>
        <v>-1226.5483647420474</v>
      </c>
      <c r="Q50" s="14">
        <f t="shared" si="16"/>
        <v>3854.0528427896452</v>
      </c>
      <c r="R50" s="7">
        <f t="shared" si="17"/>
        <v>0.94800716782816241</v>
      </c>
    </row>
    <row r="51" spans="6:18" ht="16.5" thickTop="1" thickBot="1">
      <c r="F51" s="16"/>
      <c r="H51" s="33">
        <f>'V_1,1pu_DIG'!H51</f>
        <v>3598311.0880295578</v>
      </c>
      <c r="I51" s="8">
        <f t="shared" si="9"/>
        <v>-1343190.2994972127</v>
      </c>
      <c r="J51" s="12">
        <f t="shared" si="0"/>
        <v>582.99979168851291</v>
      </c>
      <c r="K51" s="1">
        <f t="shared" si="10"/>
        <v>-48599404.571964517</v>
      </c>
      <c r="L51" s="1">
        <f t="shared" si="11"/>
        <v>-1343190.2994972127</v>
      </c>
      <c r="M51" s="14">
        <f t="shared" si="12"/>
        <v>3598.3110880295581</v>
      </c>
      <c r="N51" s="14">
        <f t="shared" si="13"/>
        <v>-1343.1902994972127</v>
      </c>
      <c r="O51" s="14">
        <f t="shared" si="14"/>
        <v>843.68970211457338</v>
      </c>
      <c r="P51" s="14">
        <f t="shared" si="15"/>
        <v>-1343.1902994972127</v>
      </c>
      <c r="Q51" s="14">
        <f t="shared" si="16"/>
        <v>3840.8336161437501</v>
      </c>
      <c r="R51" s="7">
        <f t="shared" si="17"/>
        <v>0.93685679923888809</v>
      </c>
    </row>
    <row r="52" spans="6:18" ht="16.5" thickTop="1" thickBot="1">
      <c r="F52" s="16"/>
      <c r="H52" s="33">
        <f>'V_1,1pu_DIG'!H52</f>
        <v>3542952.4559060261</v>
      </c>
      <c r="I52" s="8">
        <f t="shared" si="9"/>
        <v>-1451018.9925283608</v>
      </c>
      <c r="J52" s="12">
        <f t="shared" si="0"/>
        <v>579.98846903997219</v>
      </c>
      <c r="K52" s="1">
        <f t="shared" si="10"/>
        <v>-48607239.837794945</v>
      </c>
      <c r="L52" s="1">
        <f t="shared" si="11"/>
        <v>-1451018.9925283608</v>
      </c>
      <c r="M52" s="14">
        <f t="shared" si="12"/>
        <v>3542.952455906026</v>
      </c>
      <c r="N52" s="14">
        <f t="shared" si="13"/>
        <v>-1451.0189925283607</v>
      </c>
      <c r="O52" s="14">
        <f t="shared" si="14"/>
        <v>839.38351072716023</v>
      </c>
      <c r="P52" s="14">
        <f t="shared" si="15"/>
        <v>-1451.0189925283607</v>
      </c>
      <c r="Q52" s="14">
        <f t="shared" si="16"/>
        <v>3828.5726088829192</v>
      </c>
      <c r="R52" s="7">
        <f t="shared" si="17"/>
        <v>0.92539774423653154</v>
      </c>
    </row>
    <row r="53" spans="6:18" ht="16.5" thickTop="1" thickBot="1">
      <c r="F53" s="16"/>
      <c r="H53" s="33">
        <f>'V_1,1pu_DIG'!H53</f>
        <v>3321517.9274118994</v>
      </c>
      <c r="I53" s="8">
        <f t="shared" si="9"/>
        <v>-1818072.7856678178</v>
      </c>
      <c r="J53" s="12">
        <f t="shared" si="0"/>
        <v>569.61847231404295</v>
      </c>
      <c r="K53" s="1">
        <f t="shared" si="10"/>
        <v>-48637343.495329604</v>
      </c>
      <c r="L53" s="1">
        <f t="shared" si="11"/>
        <v>-1818072.7856678178</v>
      </c>
      <c r="M53" s="14">
        <f t="shared" si="12"/>
        <v>3321.5179274118996</v>
      </c>
      <c r="N53" s="14">
        <f t="shared" si="13"/>
        <v>-1818.0727856678177</v>
      </c>
      <c r="O53" s="14">
        <f t="shared" si="14"/>
        <v>824.55441540908134</v>
      </c>
      <c r="P53" s="14">
        <f t="shared" si="15"/>
        <v>-1818.0727856678177</v>
      </c>
      <c r="Q53" s="14">
        <f t="shared" si="16"/>
        <v>3786.537996125825</v>
      </c>
      <c r="R53" s="7">
        <f t="shared" si="17"/>
        <v>0.87719123135969901</v>
      </c>
    </row>
    <row r="54" spans="6:18" ht="16.5" thickTop="1" thickBot="1">
      <c r="F54" s="16"/>
      <c r="H54" s="33">
        <f>'V_1,1pu_DIG'!H54</f>
        <v>3100083.3989177728</v>
      </c>
      <c r="I54" s="8">
        <f t="shared" si="9"/>
        <v>-2114056.147729049</v>
      </c>
      <c r="J54" s="12">
        <f t="shared" si="0"/>
        <v>561.11679452072065</v>
      </c>
      <c r="K54" s="1">
        <f t="shared" si="10"/>
        <v>-48665472.540813841</v>
      </c>
      <c r="L54" s="1">
        <f t="shared" si="11"/>
        <v>-2114056.147729049</v>
      </c>
      <c r="M54" s="14">
        <f t="shared" si="12"/>
        <v>3100.0833989177727</v>
      </c>
      <c r="N54" s="14">
        <f t="shared" si="13"/>
        <v>-2114.0561477290489</v>
      </c>
      <c r="O54" s="14">
        <f t="shared" si="14"/>
        <v>812.39701616463049</v>
      </c>
      <c r="P54" s="14">
        <f t="shared" si="15"/>
        <v>-2114.0561477290489</v>
      </c>
      <c r="Q54" s="14">
        <f t="shared" si="16"/>
        <v>3752.2993585262566</v>
      </c>
      <c r="R54" s="7">
        <f t="shared" si="17"/>
        <v>0.82618232254671531</v>
      </c>
    </row>
    <row r="55" spans="6:18" ht="16.5" thickTop="1" thickBot="1">
      <c r="F55" s="16"/>
      <c r="H55" s="33">
        <f>'V_1,1pu_DIG'!H55</f>
        <v>2878648.8704236462</v>
      </c>
      <c r="I55" s="8">
        <f t="shared" si="9"/>
        <v>-2361617.8604283305</v>
      </c>
      <c r="J55" s="12">
        <f t="shared" si="0"/>
        <v>553.90575111078056</v>
      </c>
      <c r="K55" s="1">
        <f t="shared" si="10"/>
        <v>-48691633.556337148</v>
      </c>
      <c r="L55" s="1">
        <f t="shared" si="11"/>
        <v>-2361617.8604283305</v>
      </c>
      <c r="M55" s="14">
        <f t="shared" si="12"/>
        <v>2878.6488704236463</v>
      </c>
      <c r="N55" s="14">
        <f t="shared" si="13"/>
        <v>-2361.6178604283305</v>
      </c>
      <c r="O55" s="14">
        <f t="shared" si="14"/>
        <v>802.08522408841611</v>
      </c>
      <c r="P55" s="14">
        <f t="shared" si="15"/>
        <v>-2361.6178604283305</v>
      </c>
      <c r="Q55" s="14">
        <f t="shared" si="16"/>
        <v>3723.4202338556174</v>
      </c>
      <c r="R55" s="7">
        <f t="shared" si="17"/>
        <v>0.77311952173681808</v>
      </c>
    </row>
    <row r="56" spans="6:18" ht="16.5" thickTop="1" thickBot="1">
      <c r="F56" s="16"/>
      <c r="H56" s="33">
        <f>'V_1,1pu_DIG'!H56</f>
        <v>2657214.3419295195</v>
      </c>
      <c r="I56" s="8">
        <f t="shared" si="9"/>
        <v>-2572734.1592461262</v>
      </c>
      <c r="J56" s="12">
        <f t="shared" si="0"/>
        <v>547.68129767542837</v>
      </c>
      <c r="K56" s="1">
        <f t="shared" si="10"/>
        <v>-48715832.637245588</v>
      </c>
      <c r="L56" s="1">
        <f t="shared" si="11"/>
        <v>-2572734.1592461262</v>
      </c>
      <c r="M56" s="14">
        <f t="shared" si="12"/>
        <v>2657.2143419295194</v>
      </c>
      <c r="N56" s="14">
        <f t="shared" si="13"/>
        <v>-2572.7341592461262</v>
      </c>
      <c r="O56" s="14">
        <f t="shared" si="14"/>
        <v>793.18425567586257</v>
      </c>
      <c r="P56" s="14">
        <f t="shared" si="15"/>
        <v>-2572.7341592461262</v>
      </c>
      <c r="Q56" s="14">
        <f t="shared" si="16"/>
        <v>3698.6144856023857</v>
      </c>
      <c r="R56" s="7">
        <f t="shared" si="17"/>
        <v>0.71843506596139461</v>
      </c>
    </row>
    <row r="57" spans="6:18" ht="16.5" thickTop="1" thickBot="1">
      <c r="F57" s="16"/>
      <c r="H57" s="33">
        <f>'V_1,1pu_DIG'!H57</f>
        <v>2435779.8134353929</v>
      </c>
      <c r="I57" s="8">
        <f t="shared" ref="I57:I68" si="18">Nm*(-SQRT(IF(3/K_3^2*Ii^2*Vo^2-(H57/Nm)^2&lt;0.0000000001,0,3/K_3^2*Ii^2*Vo^2-(H57/Nm)^2))+Vo^2/K_3*K_4)</f>
        <v>-2754647.6555120065</v>
      </c>
      <c r="J57" s="12">
        <f t="shared" ref="J57:J68" si="19">SQRT(3)*SQRT((Vo/SQRT(3)*K_1+SQRT(H57^2+I57^2)/SQRT(3)/Vo/Nm*I57/SQRT(H57^2+I57^2)*K_2)^2+(SQRT(H57^2+I57^2)/SQRT(3)/Vo/Nm*H57/SQRT(H57^2+I57^2)*K_2)^2)</f>
        <v>542.26054145196827</v>
      </c>
      <c r="K57" s="1">
        <f t="shared" ref="K57:K68" si="20">Nm*(-SQRT(Vi^2*Vo^2/K_2^2-(H57/Nm)^2)-Vo^2*K_1/K_2)</f>
        <v>-48738075.39937517</v>
      </c>
      <c r="L57" s="1">
        <f t="shared" ref="L57:L68" si="21">IF(ABS(I57)&lt;ABS(K57),I57,K57)</f>
        <v>-2754647.6555120065</v>
      </c>
      <c r="M57" s="14">
        <f t="shared" ref="M57:M68" si="22">H57/1000</f>
        <v>2435.779813435393</v>
      </c>
      <c r="N57" s="14">
        <f t="shared" ref="N57:N68" si="23">I57/1000</f>
        <v>-2754.6476555120066</v>
      </c>
      <c r="O57" s="14">
        <f t="shared" ref="O57:O68" si="24">J57*1.43+10</f>
        <v>785.43257427631454</v>
      </c>
      <c r="P57" s="14">
        <f t="shared" ref="P57:P68" si="25">L57/1000</f>
        <v>-2754.6476555120066</v>
      </c>
      <c r="Q57" s="14">
        <f t="shared" ref="Q57:Q68" si="26">SQRT(M57^2+P57^2)</f>
        <v>3677.1057919996201</v>
      </c>
      <c r="R57" s="7">
        <f t="shared" ref="R57:R68" si="27">M57/SQRT(M57^2+P57^2)</f>
        <v>0.66241765976246481</v>
      </c>
    </row>
    <row r="58" spans="6:18" ht="16.5" thickTop="1" thickBot="1">
      <c r="F58" s="16"/>
      <c r="H58" s="33">
        <f>'V_1,1pu_DIG'!H58</f>
        <v>2214345.2849412663</v>
      </c>
      <c r="I58" s="8">
        <f t="shared" si="18"/>
        <v>-2912121.7122897962</v>
      </c>
      <c r="J58" s="12">
        <f t="shared" si="19"/>
        <v>537.52390307597341</v>
      </c>
      <c r="K58" s="1">
        <f t="shared" si="20"/>
        <v>-48758366.985672675</v>
      </c>
      <c r="L58" s="1">
        <f t="shared" si="21"/>
        <v>-2912121.7122897962</v>
      </c>
      <c r="M58" s="14">
        <f t="shared" si="22"/>
        <v>2214.3452849412661</v>
      </c>
      <c r="N58" s="14">
        <f t="shared" si="23"/>
        <v>-2912.1217122897961</v>
      </c>
      <c r="O58" s="14">
        <f t="shared" si="24"/>
        <v>778.65918139864198</v>
      </c>
      <c r="P58" s="14">
        <f t="shared" si="25"/>
        <v>-2912.1217122897961</v>
      </c>
      <c r="Q58" s="14">
        <f t="shared" si="26"/>
        <v>3658.384603637413</v>
      </c>
      <c r="R58" s="7">
        <f t="shared" si="27"/>
        <v>0.60527952220759251</v>
      </c>
    </row>
    <row r="59" spans="6:18" ht="16.5" thickTop="1" thickBot="1">
      <c r="F59" s="16"/>
      <c r="H59" s="33">
        <f>'V_1,1pu_DIG'!H59</f>
        <v>1992910.7564471397</v>
      </c>
      <c r="I59" s="8">
        <f t="shared" si="18"/>
        <v>-3048471.3530666409</v>
      </c>
      <c r="J59" s="12">
        <f t="shared" si="19"/>
        <v>533.38868655557133</v>
      </c>
      <c r="K59" s="1">
        <f t="shared" si="20"/>
        <v>-48776712.072222278</v>
      </c>
      <c r="L59" s="1">
        <f t="shared" si="21"/>
        <v>-3048471.3530666409</v>
      </c>
      <c r="M59" s="14">
        <f t="shared" si="22"/>
        <v>1992.9107564471396</v>
      </c>
      <c r="N59" s="14">
        <f t="shared" si="23"/>
        <v>-3048.4713530666409</v>
      </c>
      <c r="O59" s="14">
        <f t="shared" si="24"/>
        <v>772.745821774467</v>
      </c>
      <c r="P59" s="14">
        <f t="shared" si="25"/>
        <v>-3048.4713530666409</v>
      </c>
      <c r="Q59" s="14">
        <f t="shared" si="26"/>
        <v>3642.0970434120322</v>
      </c>
      <c r="R59" s="7">
        <f t="shared" si="27"/>
        <v>0.54718771430102187</v>
      </c>
    </row>
    <row r="60" spans="6:18" ht="16.5" thickTop="1" thickBot="1">
      <c r="F60" s="16"/>
      <c r="H60" s="33">
        <f>'V_1,1pu_DIG'!H60</f>
        <v>1771476.227953013</v>
      </c>
      <c r="I60" s="8">
        <f t="shared" si="18"/>
        <v>-3166096.2109777252</v>
      </c>
      <c r="J60" s="12">
        <f t="shared" si="19"/>
        <v>529.79542430788899</v>
      </c>
      <c r="K60" s="1">
        <f t="shared" si="20"/>
        <v>-48793114.873694919</v>
      </c>
      <c r="L60" s="1">
        <f t="shared" si="21"/>
        <v>-3166096.2109777252</v>
      </c>
      <c r="M60" s="14">
        <f t="shared" si="22"/>
        <v>1771.476227953013</v>
      </c>
      <c r="N60" s="14">
        <f t="shared" si="23"/>
        <v>-3166.0962109777251</v>
      </c>
      <c r="O60" s="14">
        <f t="shared" si="24"/>
        <v>767.60745676028125</v>
      </c>
      <c r="P60" s="14">
        <f t="shared" si="25"/>
        <v>-3166.0962109777251</v>
      </c>
      <c r="Q60" s="14">
        <f t="shared" si="26"/>
        <v>3627.9874921738833</v>
      </c>
      <c r="R60" s="7">
        <f t="shared" si="27"/>
        <v>0.48828068778471662</v>
      </c>
    </row>
    <row r="61" spans="6:18" ht="16.5" thickTop="1" thickBot="1">
      <c r="F61" s="16"/>
      <c r="H61" s="33">
        <f>'V_1,1pu_DIG'!H61</f>
        <v>1550041.6994588864</v>
      </c>
      <c r="I61" s="8">
        <f t="shared" si="18"/>
        <v>-3266781.1676983591</v>
      </c>
      <c r="J61" s="12">
        <f t="shared" si="19"/>
        <v>526.70017828511857</v>
      </c>
      <c r="K61" s="1">
        <f t="shared" si="20"/>
        <v>-48807579.148235135</v>
      </c>
      <c r="L61" s="1">
        <f t="shared" si="21"/>
        <v>-3266781.1676983591</v>
      </c>
      <c r="M61" s="14">
        <f t="shared" si="22"/>
        <v>1550.0416994588863</v>
      </c>
      <c r="N61" s="14">
        <f t="shared" si="23"/>
        <v>-3266.7811676983592</v>
      </c>
      <c r="O61" s="14">
        <f t="shared" si="24"/>
        <v>763.18125494771948</v>
      </c>
      <c r="P61" s="14">
        <f t="shared" si="25"/>
        <v>-3266.7811676983592</v>
      </c>
      <c r="Q61" s="14">
        <f t="shared" si="26"/>
        <v>3615.8662126370286</v>
      </c>
      <c r="R61" s="7">
        <f t="shared" si="27"/>
        <v>0.42867783493804951</v>
      </c>
    </row>
    <row r="62" spans="6:18" ht="16.5" thickTop="1" thickBot="1">
      <c r="F62" s="16"/>
      <c r="H62" s="33">
        <f>'V_1,1pu_DIG'!H62</f>
        <v>1328607.1709647598</v>
      </c>
      <c r="I62" s="8">
        <f t="shared" si="18"/>
        <v>-3351877.2812691503</v>
      </c>
      <c r="J62" s="12">
        <f t="shared" si="19"/>
        <v>524.06990844429708</v>
      </c>
      <c r="K62" s="1">
        <f t="shared" si="20"/>
        <v>-48820108.201798894</v>
      </c>
      <c r="L62" s="1">
        <f t="shared" si="21"/>
        <v>-3351877.2812691503</v>
      </c>
      <c r="M62" s="14">
        <f t="shared" si="22"/>
        <v>1328.6071709647597</v>
      </c>
      <c r="N62" s="14">
        <f t="shared" si="23"/>
        <v>-3351.8772812691504</v>
      </c>
      <c r="O62" s="14">
        <f t="shared" si="24"/>
        <v>759.41996907534485</v>
      </c>
      <c r="P62" s="14">
        <f t="shared" si="25"/>
        <v>-3351.8772812691504</v>
      </c>
      <c r="Q62" s="14">
        <f t="shared" si="26"/>
        <v>3605.5898717723367</v>
      </c>
      <c r="R62" s="7">
        <f t="shared" si="27"/>
        <v>0.36848538469842096</v>
      </c>
    </row>
    <row r="63" spans="6:18" ht="16.5" thickTop="1" thickBot="1">
      <c r="F63" s="16"/>
      <c r="H63" s="33">
        <f>'V_1,1pu_DIG'!H63</f>
        <v>1107172.6424706331</v>
      </c>
      <c r="I63" s="8">
        <f t="shared" si="18"/>
        <v>-3422416.1002473189</v>
      </c>
      <c r="J63" s="12">
        <f t="shared" si="19"/>
        <v>521.87954710138217</v>
      </c>
      <c r="K63" s="1">
        <f t="shared" si="20"/>
        <v>-48830704.891954146</v>
      </c>
      <c r="L63" s="1">
        <f t="shared" si="21"/>
        <v>-3422416.1002473189</v>
      </c>
      <c r="M63" s="14">
        <f t="shared" si="22"/>
        <v>1107.172642470633</v>
      </c>
      <c r="N63" s="14">
        <f t="shared" si="23"/>
        <v>-3422.4161002473188</v>
      </c>
      <c r="O63" s="14">
        <f t="shared" si="24"/>
        <v>756.28775235497642</v>
      </c>
      <c r="P63" s="14">
        <f t="shared" si="25"/>
        <v>-3422.4161002473188</v>
      </c>
      <c r="Q63" s="14">
        <f t="shared" si="26"/>
        <v>3597.0492383990895</v>
      </c>
      <c r="R63" s="7">
        <f t="shared" si="27"/>
        <v>0.30780024656081539</v>
      </c>
    </row>
    <row r="64" spans="6:18" ht="16.5" thickTop="1" thickBot="1">
      <c r="F64" s="16"/>
      <c r="H64" s="33">
        <f>'V_1,1pu_DIG'!H64</f>
        <v>885738.1139765064</v>
      </c>
      <c r="I64" s="8">
        <f t="shared" si="18"/>
        <v>-3479184.5207315055</v>
      </c>
      <c r="J64" s="12">
        <f t="shared" si="19"/>
        <v>520.11008325361718</v>
      </c>
      <c r="K64" s="1">
        <f t="shared" si="20"/>
        <v>-48839371.631154284</v>
      </c>
      <c r="L64" s="1">
        <f t="shared" si="21"/>
        <v>-3479184.5207315055</v>
      </c>
      <c r="M64" s="14">
        <f t="shared" si="22"/>
        <v>885.73811397650638</v>
      </c>
      <c r="N64" s="14">
        <f t="shared" si="23"/>
        <v>-3479.1845207315055</v>
      </c>
      <c r="O64" s="14">
        <f t="shared" si="24"/>
        <v>753.7574190526725</v>
      </c>
      <c r="P64" s="14">
        <f t="shared" si="25"/>
        <v>-3479.1845207315055</v>
      </c>
      <c r="Q64" s="14">
        <f t="shared" si="26"/>
        <v>3590.1611295105367</v>
      </c>
      <c r="R64" s="7">
        <f t="shared" si="27"/>
        <v>0.24671263545691141</v>
      </c>
    </row>
    <row r="65" spans="6:18" ht="16.5" thickTop="1" thickBot="1">
      <c r="F65" s="16"/>
      <c r="H65" s="33">
        <f>'V_1,1pu_DIG'!H65</f>
        <v>664303.58548237965</v>
      </c>
      <c r="I65" s="8">
        <f t="shared" si="18"/>
        <v>-3522774.9797187001</v>
      </c>
      <c r="J65" s="12">
        <f t="shared" si="19"/>
        <v>518.74727799496065</v>
      </c>
      <c r="K65" s="1">
        <f t="shared" si="20"/>
        <v>-48846110.389493413</v>
      </c>
      <c r="L65" s="1">
        <f t="shared" si="21"/>
        <v>-3522774.9797187001</v>
      </c>
      <c r="M65" s="14">
        <f t="shared" si="22"/>
        <v>664.30358548237962</v>
      </c>
      <c r="N65" s="14">
        <f t="shared" si="23"/>
        <v>-3522.7749797187003</v>
      </c>
      <c r="O65" s="14">
        <f t="shared" si="24"/>
        <v>751.80860753279376</v>
      </c>
      <c r="P65" s="14">
        <f t="shared" si="25"/>
        <v>-3522.7749797187003</v>
      </c>
      <c r="Q65" s="14">
        <f t="shared" si="26"/>
        <v>3584.8630115273349</v>
      </c>
      <c r="R65" s="7">
        <f t="shared" si="27"/>
        <v>0.18530794157162295</v>
      </c>
    </row>
    <row r="66" spans="6:18" ht="16.5" thickTop="1" thickBot="1">
      <c r="F66" s="16"/>
      <c r="H66" s="33">
        <f>'V_1,1pu_DIG'!H66</f>
        <v>442869.05698825291</v>
      </c>
      <c r="I66" s="8">
        <f t="shared" si="18"/>
        <v>-3553619.4425674933</v>
      </c>
      <c r="J66" s="12">
        <f t="shared" si="19"/>
        <v>517.78079454175361</v>
      </c>
      <c r="K66" s="1">
        <f t="shared" si="20"/>
        <v>-48850922.696950726</v>
      </c>
      <c r="L66" s="1">
        <f t="shared" si="21"/>
        <v>-3553619.4425674933</v>
      </c>
      <c r="M66" s="14">
        <f t="shared" si="22"/>
        <v>442.86905698825291</v>
      </c>
      <c r="N66" s="14">
        <f t="shared" si="23"/>
        <v>-3553.6194425674935</v>
      </c>
      <c r="O66" s="14">
        <f t="shared" si="24"/>
        <v>750.42653619470764</v>
      </c>
      <c r="P66" s="14">
        <f t="shared" si="25"/>
        <v>-3553.6194425674935</v>
      </c>
      <c r="Q66" s="14">
        <f t="shared" si="26"/>
        <v>3581.1093454726242</v>
      </c>
      <c r="R66" s="7">
        <f t="shared" si="27"/>
        <v>0.12366811908386571</v>
      </c>
    </row>
    <row r="67" spans="6:18" ht="16.5" thickTop="1" thickBot="1">
      <c r="F67" s="16"/>
      <c r="H67" s="33">
        <f>'V_1,1pu_DIG'!H67</f>
        <v>221434.52849412619</v>
      </c>
      <c r="I67" s="8">
        <f t="shared" si="18"/>
        <v>-3572012.185469443</v>
      </c>
      <c r="J67" s="12">
        <f t="shared" si="19"/>
        <v>517.20361494206088</v>
      </c>
      <c r="K67" s="1">
        <f t="shared" si="20"/>
        <v>-48853809.645129941</v>
      </c>
      <c r="L67" s="1">
        <f t="shared" si="21"/>
        <v>-3572012.185469443</v>
      </c>
      <c r="M67" s="14">
        <f t="shared" si="22"/>
        <v>221.4345284941262</v>
      </c>
      <c r="N67" s="14">
        <f t="shared" si="23"/>
        <v>-3572.012185469443</v>
      </c>
      <c r="O67" s="14">
        <f t="shared" si="24"/>
        <v>749.60116936714701</v>
      </c>
      <c r="P67" s="14">
        <f t="shared" si="25"/>
        <v>-3572.012185469443</v>
      </c>
      <c r="Q67" s="14">
        <f t="shared" si="26"/>
        <v>3578.8691375281664</v>
      </c>
      <c r="R67" s="7">
        <f t="shared" si="27"/>
        <v>6.1872764827345821E-2</v>
      </c>
    </row>
    <row r="68" spans="6:18" ht="16.5" thickTop="1" thickBot="1">
      <c r="F68" s="16"/>
      <c r="H68" s="33">
        <f>'V_1,1pu_DIG'!H68</f>
        <v>-5.2386894822120667E-10</v>
      </c>
      <c r="I68" s="8">
        <f t="shared" si="18"/>
        <v>-3578124.3720623562</v>
      </c>
      <c r="J68" s="12">
        <f t="shared" si="19"/>
        <v>517.01166679084861</v>
      </c>
      <c r="K68" s="1">
        <f t="shared" si="20"/>
        <v>-48854771.88849853</v>
      </c>
      <c r="L68" s="1">
        <f t="shared" si="21"/>
        <v>-3578124.3720623562</v>
      </c>
      <c r="M68" s="14">
        <f t="shared" si="22"/>
        <v>-5.2386894822120663E-13</v>
      </c>
      <c r="N68" s="14">
        <f t="shared" si="23"/>
        <v>-3578.1243720623561</v>
      </c>
      <c r="O68" s="14">
        <f t="shared" si="24"/>
        <v>749.32668351091343</v>
      </c>
      <c r="P68" s="14">
        <f t="shared" si="25"/>
        <v>-3578.1243720623561</v>
      </c>
      <c r="Q68" s="14">
        <f t="shared" si="26"/>
        <v>3578.1243720623561</v>
      </c>
      <c r="R68" s="7">
        <f t="shared" si="27"/>
        <v>-1.4640881471631449E-16</v>
      </c>
    </row>
    <row r="69" spans="6:18" ht="15.75" thickTop="1"/>
  </sheetData>
  <sheetProtection selectLockedCells="1"/>
  <hyperlinks>
    <hyperlink ref="A13" r:id="rId1" display="Vdc@Tmin" xr:uid="{00000000-0004-0000-0900-000000000000}"/>
    <hyperlink ref="A22" r:id="rId2" display="P@PF=1 (W) (kW)" xr:uid="{00000000-0004-0000-0900-000001000000}"/>
    <hyperlink ref="C22" r:id="rId3" display="P@PF=1 (kW)" xr:uid="{00000000-0004-0000-0900-000002000000}"/>
    <hyperlink ref="C23" r:id="rId4" display="P@PF=1 (kW)" xr:uid="{00000000-0004-0000-0900-000003000000}"/>
  </hyperlinks>
  <pageMargins left="0.7" right="0.7" top="0.75" bottom="0.75" header="0.3" footer="0.3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69"/>
  <sheetViews>
    <sheetView workbookViewId="0">
      <selection activeCell="D8" sqref="D8"/>
    </sheetView>
  </sheetViews>
  <sheetFormatPr baseColWidth="10" defaultRowHeight="15"/>
  <cols>
    <col min="1" max="1" width="28.140625" customWidth="1"/>
    <col min="2" max="2" width="14.5703125" bestFit="1" customWidth="1"/>
    <col min="3" max="3" width="17.42578125" bestFit="1" customWidth="1"/>
    <col min="4" max="4" width="10.5703125" bestFit="1" customWidth="1"/>
    <col min="6" max="6" width="21.140625" bestFit="1" customWidth="1"/>
    <col min="8" max="8" width="9.140625" hidden="1" customWidth="1"/>
    <col min="9" max="12" width="11.85546875" hidden="1" customWidth="1"/>
    <col min="13" max="13" width="10.5703125" bestFit="1" customWidth="1"/>
    <col min="14" max="15" width="10.5703125" customWidth="1"/>
    <col min="16" max="16" width="10.7109375" bestFit="1" customWidth="1"/>
    <col min="19" max="19" width="10.85546875" bestFit="1" customWidth="1"/>
  </cols>
  <sheetData>
    <row r="1" spans="1:19" ht="15.75" thickBot="1">
      <c r="A1" s="3" t="s">
        <v>70</v>
      </c>
      <c r="B1">
        <f>Capability!B1</f>
        <v>620</v>
      </c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18</v>
      </c>
      <c r="O1" s="2" t="s">
        <v>19</v>
      </c>
      <c r="P1" s="2" t="s">
        <v>14</v>
      </c>
      <c r="Q1" s="2" t="s">
        <v>13</v>
      </c>
      <c r="R1" s="2" t="s">
        <v>12</v>
      </c>
    </row>
    <row r="2" spans="1:19" ht="16.5" thickTop="1" thickBot="1">
      <c r="A2" s="3" t="s">
        <v>71</v>
      </c>
      <c r="B2" s="28">
        <v>1.02</v>
      </c>
      <c r="F2" t="s">
        <v>20</v>
      </c>
      <c r="G2" s="15">
        <f>Capability!G2</f>
        <v>3750</v>
      </c>
      <c r="H2" s="1">
        <f>G2*1000</f>
        <v>3750000</v>
      </c>
      <c r="I2" s="8">
        <f>Nm*(SQRT(IF(3/K_3^2*Ii^2*B3^2-(H2/Nm)^2&lt;0.0000000001,0,3/K_3^2*Ii^2*B3^2-(H2/Nm)^2))+B3^2/K_3*K_4)</f>
        <v>2097422.6708845058</v>
      </c>
      <c r="J2" s="11">
        <f>SQRT(3)*SQRT((B3/SQRT(3)*K_1+SQRT(H2^2+I2^2)/SQRT(3)/B3/Nm*I2/SQRT(H2^2+I2^2)*K_2)^2+(SQRT(H2^2+I2^2)/SQRT(3)/B3/Nm*H2/SQRT(H2^2+I2^2)*K_2)^2)</f>
        <v>683.14368477285541</v>
      </c>
      <c r="K2" s="1">
        <f>Nm*(SQRT(Vi^2*B3^2/K_2^2-(H2/Nm)^2)-B3^2*K_1/K_2)</f>
        <v>1396644.6414793041</v>
      </c>
      <c r="L2" s="1">
        <f>IF(ABS(I2)&lt;ABS(K2),I2,K2)</f>
        <v>1396644.6414793041</v>
      </c>
      <c r="M2" s="13">
        <f t="shared" ref="M2:N44" si="0">H2/1000</f>
        <v>3750</v>
      </c>
      <c r="N2" s="13">
        <f>I2/1000</f>
        <v>2097.4226708845058</v>
      </c>
      <c r="O2" s="13">
        <f>J2*1.43+10</f>
        <v>986.89546922518321</v>
      </c>
      <c r="P2" s="13">
        <f t="shared" ref="P2:P44" si="1">L2/1000</f>
        <v>1396.644641479304</v>
      </c>
      <c r="Q2" s="13">
        <f>SQRT(M2^2+P2^2)</f>
        <v>4001.6391959511857</v>
      </c>
      <c r="R2" s="9">
        <f>M2/SQRT(M2^2+P2^2)</f>
        <v>0.93711597082370857</v>
      </c>
      <c r="S2" s="10" t="s">
        <v>15</v>
      </c>
    </row>
    <row r="3" spans="1:19" ht="16.5" thickTop="1" thickBot="1">
      <c r="A3" s="21" t="s">
        <v>67</v>
      </c>
      <c r="B3" s="21">
        <f>$B$1*B2</f>
        <v>632.4</v>
      </c>
      <c r="F3" t="s">
        <v>21</v>
      </c>
      <c r="G3" s="15">
        <f>Capability!G3</f>
        <v>2846</v>
      </c>
      <c r="H3" s="1">
        <f>G3*1000</f>
        <v>2846000</v>
      </c>
      <c r="I3" s="8">
        <f>Nm*(-SQRT(IF(3/K_3^2*Ii^2*B3^2-(H3/Nm)^2&lt;0.0000000001,0,3/K_3^2*Ii^2*B3^2-(H3/Nm)^2))+B3^2/K_3*K_4)</f>
        <v>-2489943.7234770334</v>
      </c>
      <c r="J3" s="12">
        <f>SQRT(3)*SQRT((B3/SQRT(3)*K_1+SQRT(H3^2+I3^2)/SQRT(3)/B3/Nm*I3/SQRT(H3^2+I3^2)*K_2)^2+(SQRT(H3^2+I3^2)/SQRT(3)/B3/Nm*H3/SQRT(H3^2+I3^2)*K_2)^2)</f>
        <v>563.64325577184161</v>
      </c>
      <c r="K3" s="1">
        <f>Nm*(-SQRT(Vi^2*B3^2/K_2^2-(H3/Nm)^2)-B3^2*K_1/K_2)</f>
        <v>-50152429.514112815</v>
      </c>
      <c r="L3" s="1">
        <f>IF(ABS(I3)&lt;ABS(K3),I3,K3)</f>
        <v>-2489943.7234770334</v>
      </c>
      <c r="M3" s="13">
        <f t="shared" si="0"/>
        <v>2846</v>
      </c>
      <c r="N3" s="13">
        <f t="shared" si="0"/>
        <v>-2489.9437234770335</v>
      </c>
      <c r="O3" s="13">
        <f t="shared" ref="O3:O44" si="2">J3*1.43+10</f>
        <v>816.00985575373352</v>
      </c>
      <c r="P3" s="13">
        <f t="shared" si="1"/>
        <v>-2489.9437234770335</v>
      </c>
      <c r="Q3" s="13">
        <f>SQRT(M3^2+P3^2)</f>
        <v>3781.4726954035614</v>
      </c>
      <c r="R3" s="9">
        <f>M3/SQRT(M3^2+P3^2)</f>
        <v>0.75261683191825157</v>
      </c>
      <c r="S3" s="10" t="s">
        <v>16</v>
      </c>
    </row>
    <row r="4" spans="1:19" ht="16.5" thickTop="1" thickBot="1">
      <c r="A4" s="3" t="s">
        <v>11</v>
      </c>
      <c r="B4" s="6">
        <f>Nm</f>
        <v>3</v>
      </c>
      <c r="F4" s="16"/>
      <c r="H4" s="33">
        <f>'V_1,1pu_DIG'!H4</f>
        <v>0</v>
      </c>
      <c r="I4" s="8">
        <f t="shared" ref="I4:I36" si="3">Nm*(SQRT(IF(3/K_3^2*Ii^2*$B$3^2-(H4/Nm)^2&lt;0.0000000001,0,3/K_3^2*Ii^2*$B$3^2-(H4/Nm)^2))+$B$3^2/K_3*K_4)</f>
        <v>4548097.9315430913</v>
      </c>
      <c r="J4" s="12">
        <f t="shared" ref="J4:J35" si="4">SQRT(3)*SQRT(($B$3/SQRT(3)*K_1+SQRT(H4^2+I4^2)/SQRT(3)/$B$3/Nm*I4/SQRT(H4^2+I4^2)*K_2)^2+(SQRT(H4^2+I4^2)/SQRT(3)/$B$3/Nm*H4/SQRT(H4^2+I4^2)*K_2)^2)</f>
        <v>739.10755314355868</v>
      </c>
      <c r="K4" s="1">
        <f t="shared" ref="K4:K36" si="5">Nm*(SQRT(Vi^2*$B$3^2/K_2^2-(H4/Nm)^2)-$B$3^2*K_1/K_2)</f>
        <v>1668618.2956130896</v>
      </c>
      <c r="L4" s="1">
        <f>IF(ABS(I4)&lt;ABS(K4),I4,K4)</f>
        <v>1668618.2956130896</v>
      </c>
      <c r="M4" s="14">
        <f t="shared" si="0"/>
        <v>0</v>
      </c>
      <c r="N4" s="14">
        <f t="shared" si="0"/>
        <v>4548.0979315430914</v>
      </c>
      <c r="O4" s="14">
        <f t="shared" si="2"/>
        <v>1066.923800995289</v>
      </c>
      <c r="P4" s="14">
        <f t="shared" si="1"/>
        <v>1668.6182956130897</v>
      </c>
      <c r="Q4" s="14">
        <f t="shared" ref="Q4:Q44" si="6">SQRT(M4^2+P4^2)</f>
        <v>1668.6182956130897</v>
      </c>
      <c r="R4" s="7">
        <f>M4/SQRT(M4^2+P4^2)</f>
        <v>0</v>
      </c>
    </row>
    <row r="5" spans="1:19" ht="16.5" thickTop="1" thickBot="1">
      <c r="A5" s="3" t="s">
        <v>1</v>
      </c>
      <c r="B5" s="6">
        <f>Capability!B5</f>
        <v>50</v>
      </c>
      <c r="C5" s="1" t="s">
        <v>32</v>
      </c>
      <c r="D5" s="1">
        <f>2*PI()*B5</f>
        <v>314.15926535897933</v>
      </c>
      <c r="F5" s="16"/>
      <c r="H5" s="33">
        <f>'V_1,1pu_DIG'!H5</f>
        <v>221434.52849412672</v>
      </c>
      <c r="I5" s="8">
        <f t="shared" si="3"/>
        <v>4542105.7691590488</v>
      </c>
      <c r="J5" s="12">
        <f t="shared" si="4"/>
        <v>738.97588433563783</v>
      </c>
      <c r="K5" s="1">
        <f t="shared" si="5"/>
        <v>1667674.9204532839</v>
      </c>
      <c r="L5" s="1">
        <f t="shared" ref="L5:L44" si="7">IF(ABS(I5)&lt;ABS(K5),I5,K5)</f>
        <v>1667674.9204532839</v>
      </c>
      <c r="M5" s="14">
        <f t="shared" si="0"/>
        <v>221.43452849412671</v>
      </c>
      <c r="N5" s="14">
        <f t="shared" si="0"/>
        <v>4542.1057691590486</v>
      </c>
      <c r="O5" s="14">
        <f t="shared" si="2"/>
        <v>1066.735514599962</v>
      </c>
      <c r="P5" s="14">
        <f t="shared" si="1"/>
        <v>1667.6749204532839</v>
      </c>
      <c r="Q5" s="14">
        <f t="shared" si="6"/>
        <v>1682.3117697734517</v>
      </c>
      <c r="R5" s="7">
        <f t="shared" ref="R5:R44" si="8">M5/SQRT(M5^2+P5^2)</f>
        <v>0.13162514372942072</v>
      </c>
    </row>
    <row r="6" spans="1:19" ht="16.5" thickTop="1" thickBot="1">
      <c r="A6" s="3" t="s">
        <v>0</v>
      </c>
      <c r="B6" s="6">
        <f>Capability!B6</f>
        <v>2700</v>
      </c>
      <c r="F6" s="16"/>
      <c r="H6" s="33">
        <f>'V_1,1pu_DIG'!H6</f>
        <v>442869.05698825343</v>
      </c>
      <c r="I6" s="8">
        <f t="shared" si="3"/>
        <v>4524076.355161991</v>
      </c>
      <c r="J6" s="12">
        <f t="shared" si="4"/>
        <v>738.57957335907508</v>
      </c>
      <c r="K6" s="1">
        <f t="shared" si="5"/>
        <v>1664844.5894799046</v>
      </c>
      <c r="L6" s="1">
        <f t="shared" si="7"/>
        <v>1664844.5894799046</v>
      </c>
      <c r="M6" s="14">
        <f t="shared" si="0"/>
        <v>442.86905698825342</v>
      </c>
      <c r="N6" s="14">
        <f t="shared" si="0"/>
        <v>4524.0763551619912</v>
      </c>
      <c r="O6" s="14">
        <f t="shared" si="2"/>
        <v>1066.1687899034773</v>
      </c>
      <c r="P6" s="14">
        <f t="shared" si="1"/>
        <v>1664.8445894799047</v>
      </c>
      <c r="Q6" s="14">
        <f t="shared" si="6"/>
        <v>1722.7421480761934</v>
      </c>
      <c r="R6" s="7">
        <f t="shared" si="8"/>
        <v>0.25707216688394752</v>
      </c>
    </row>
    <row r="7" spans="1:19" ht="16.5" thickTop="1" thickBot="1">
      <c r="A7" s="3" t="s">
        <v>43</v>
      </c>
      <c r="B7" s="6">
        <f>Capability!B7</f>
        <v>33</v>
      </c>
      <c r="C7" s="1" t="s">
        <v>40</v>
      </c>
      <c r="D7" s="1">
        <f>B7+aux!C6</f>
        <v>44.25</v>
      </c>
      <c r="F7" s="16"/>
      <c r="H7" s="33">
        <f>'V_1,1pu_DIG'!H7</f>
        <v>664303.58548238012</v>
      </c>
      <c r="I7" s="8">
        <f t="shared" si="3"/>
        <v>4493848.5436851578</v>
      </c>
      <c r="J7" s="12">
        <f t="shared" si="4"/>
        <v>737.91464748357612</v>
      </c>
      <c r="K7" s="1">
        <f t="shared" si="5"/>
        <v>1660126.6859872006</v>
      </c>
      <c r="L7" s="1">
        <f t="shared" si="7"/>
        <v>1660126.6859872006</v>
      </c>
      <c r="M7" s="14">
        <f t="shared" si="0"/>
        <v>664.30358548238007</v>
      </c>
      <c r="N7" s="14">
        <f t="shared" si="0"/>
        <v>4493.8485436851579</v>
      </c>
      <c r="O7" s="14">
        <f t="shared" si="2"/>
        <v>1065.2179459015138</v>
      </c>
      <c r="P7" s="14">
        <f t="shared" si="1"/>
        <v>1660.1266859872005</v>
      </c>
      <c r="Q7" s="14">
        <f t="shared" si="6"/>
        <v>1788.1051051914119</v>
      </c>
      <c r="R7" s="7">
        <f t="shared" si="8"/>
        <v>0.37151260490991561</v>
      </c>
    </row>
    <row r="8" spans="1:19" ht="16.5" thickTop="1" thickBot="1">
      <c r="A8" s="3" t="s">
        <v>41</v>
      </c>
      <c r="B8" s="6">
        <f>Capability!B8</f>
        <v>951.5</v>
      </c>
      <c r="C8" s="1" t="s">
        <v>33</v>
      </c>
      <c r="D8" s="1">
        <f>IF(B8&gt;1250,1250,IF(B8&lt;B3*1.43,B3*1.43,B8))</f>
        <v>951.5</v>
      </c>
      <c r="F8" s="16"/>
      <c r="H8" s="33">
        <f>'V_1,1pu_DIG'!H8</f>
        <v>885738.11397650687</v>
      </c>
      <c r="I8" s="8">
        <f t="shared" si="3"/>
        <v>4451145.6226918688</v>
      </c>
      <c r="J8" s="12">
        <f t="shared" si="4"/>
        <v>736.97428228698789</v>
      </c>
      <c r="K8" s="1">
        <f t="shared" si="5"/>
        <v>1653520.1813854426</v>
      </c>
      <c r="L8" s="1">
        <f t="shared" si="7"/>
        <v>1653520.1813854426</v>
      </c>
      <c r="M8" s="14">
        <f t="shared" si="0"/>
        <v>885.73811397650684</v>
      </c>
      <c r="N8" s="14">
        <f t="shared" si="0"/>
        <v>4451.145622691869</v>
      </c>
      <c r="O8" s="14">
        <f t="shared" si="2"/>
        <v>1063.8732236703927</v>
      </c>
      <c r="P8" s="14">
        <f t="shared" si="1"/>
        <v>1653.5201813854426</v>
      </c>
      <c r="Q8" s="14">
        <f t="shared" si="6"/>
        <v>1875.8094244351173</v>
      </c>
      <c r="R8" s="7">
        <f t="shared" si="8"/>
        <v>0.47218981973248092</v>
      </c>
    </row>
    <row r="9" spans="1:19" ht="16.5" thickTop="1" thickBot="1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H9" s="33">
        <f>'V_1,1pu_DIG'!H9</f>
        <v>1107172.6424706336</v>
      </c>
      <c r="I9" s="8">
        <f t="shared" si="3"/>
        <v>4395562.1823559348</v>
      </c>
      <c r="J9" s="12">
        <f t="shared" si="4"/>
        <v>735.74847356608348</v>
      </c>
      <c r="K9" s="1">
        <f t="shared" si="5"/>
        <v>1645023.6340786535</v>
      </c>
      <c r="L9" s="1">
        <f t="shared" si="7"/>
        <v>1645023.6340786535</v>
      </c>
      <c r="M9" s="14">
        <f t="shared" si="0"/>
        <v>1107.1726424706337</v>
      </c>
      <c r="N9" s="14">
        <f t="shared" si="0"/>
        <v>4395.562182355935</v>
      </c>
      <c r="O9" s="14">
        <f t="shared" si="2"/>
        <v>1062.1203171994994</v>
      </c>
      <c r="P9" s="14">
        <f t="shared" si="1"/>
        <v>1645.0236340786535</v>
      </c>
      <c r="Q9" s="14">
        <f t="shared" si="6"/>
        <v>1982.9104914021575</v>
      </c>
      <c r="R9" s="7">
        <f t="shared" si="8"/>
        <v>0.55835734758139732</v>
      </c>
    </row>
    <row r="10" spans="1:19" ht="16.5" thickTop="1" thickBot="1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1.1492499999999999</v>
      </c>
      <c r="F10" s="16"/>
      <c r="H10" s="33">
        <f>'V_1,1pu_DIG'!H10</f>
        <v>1328607.1709647602</v>
      </c>
      <c r="I10" s="8">
        <f t="shared" si="3"/>
        <v>4326543.681581852</v>
      </c>
      <c r="J10" s="12">
        <f t="shared" si="4"/>
        <v>734.22352660409945</v>
      </c>
      <c r="K10" s="1">
        <f t="shared" si="5"/>
        <v>1634635.1878895145</v>
      </c>
      <c r="L10" s="1">
        <f t="shared" si="7"/>
        <v>1634635.1878895145</v>
      </c>
      <c r="M10" s="14">
        <f t="shared" si="0"/>
        <v>1328.6071709647601</v>
      </c>
      <c r="N10" s="14">
        <f t="shared" si="0"/>
        <v>4326.5436815818521</v>
      </c>
      <c r="O10" s="14">
        <f t="shared" si="2"/>
        <v>1059.9396430438621</v>
      </c>
      <c r="P10" s="14">
        <f t="shared" si="1"/>
        <v>1634.6351878895146</v>
      </c>
      <c r="Q10" s="14">
        <f t="shared" si="6"/>
        <v>2106.4731691207398</v>
      </c>
      <c r="R10" s="7">
        <f t="shared" si="8"/>
        <v>0.63072589313792793</v>
      </c>
    </row>
    <row r="11" spans="1:19" ht="16.5" thickTop="1" thickBot="1">
      <c r="A11" s="21" t="s">
        <v>49</v>
      </c>
      <c r="B11" s="20">
        <f>B9*B10</f>
        <v>1.2004372301587298</v>
      </c>
      <c r="F11" s="16"/>
      <c r="H11" s="33">
        <f>'V_1,1pu_DIG'!H11</f>
        <v>1550041.6994588869</v>
      </c>
      <c r="I11" s="8">
        <f t="shared" si="3"/>
        <v>4243356.1489195544</v>
      </c>
      <c r="J11" s="12">
        <f t="shared" si="4"/>
        <v>732.38129845451749</v>
      </c>
      <c r="K11" s="1">
        <f t="shared" si="5"/>
        <v>1622352.5700273067</v>
      </c>
      <c r="L11" s="1">
        <f t="shared" si="7"/>
        <v>1622352.5700273067</v>
      </c>
      <c r="M11" s="14">
        <f t="shared" si="0"/>
        <v>1550.0416994588868</v>
      </c>
      <c r="N11" s="14">
        <f t="shared" si="0"/>
        <v>4243.3561489195545</v>
      </c>
      <c r="O11" s="14">
        <f t="shared" si="2"/>
        <v>1057.3052567899599</v>
      </c>
      <c r="P11" s="14">
        <f t="shared" si="1"/>
        <v>1622.3525700273067</v>
      </c>
      <c r="Q11" s="14">
        <f t="shared" si="6"/>
        <v>2243.8041651480194</v>
      </c>
      <c r="R11" s="7">
        <f t="shared" si="8"/>
        <v>0.6908097076986367</v>
      </c>
    </row>
    <row r="12" spans="1:19" ht="16.5" thickTop="1" thickBot="1">
      <c r="A12" s="3" t="s">
        <v>44</v>
      </c>
      <c r="B12" s="6">
        <f>Capability!B12</f>
        <v>-5</v>
      </c>
      <c r="C12" s="1" t="s">
        <v>39</v>
      </c>
      <c r="D12" s="1">
        <f>B12+aux!C6</f>
        <v>6.25</v>
      </c>
      <c r="F12" s="16"/>
      <c r="H12" s="33">
        <f>'V_1,1pu_DIG'!H12</f>
        <v>1771476.2279530135</v>
      </c>
      <c r="I12" s="8">
        <f t="shared" si="3"/>
        <v>4145041.7871724307</v>
      </c>
      <c r="J12" s="12">
        <f t="shared" si="4"/>
        <v>730.19808702400212</v>
      </c>
      <c r="K12" s="1">
        <f t="shared" si="5"/>
        <v>1608173.0885937195</v>
      </c>
      <c r="L12" s="1">
        <f t="shared" si="7"/>
        <v>1608173.0885937195</v>
      </c>
      <c r="M12" s="14">
        <f t="shared" si="0"/>
        <v>1771.4762279530134</v>
      </c>
      <c r="N12" s="14">
        <f t="shared" si="0"/>
        <v>4145.0417871724303</v>
      </c>
      <c r="O12" s="14">
        <f t="shared" si="2"/>
        <v>1054.183264444323</v>
      </c>
      <c r="P12" s="14">
        <f t="shared" si="1"/>
        <v>1608.1730885937195</v>
      </c>
      <c r="Q12" s="14">
        <f t="shared" si="6"/>
        <v>2392.5611191941784</v>
      </c>
      <c r="R12" s="7">
        <f t="shared" si="8"/>
        <v>0.74041002076872831</v>
      </c>
    </row>
    <row r="13" spans="1:19" ht="16.5" thickTop="1" thickBot="1">
      <c r="A13" s="3" t="s">
        <v>42</v>
      </c>
      <c r="B13" s="19">
        <f>Capability!B13</f>
        <v>1130</v>
      </c>
      <c r="C13" s="1" t="s">
        <v>48</v>
      </c>
      <c r="D13" s="1">
        <f>IF(B13&gt;1250,1250,IF(B13&lt;B3*1.43,B3*1.43,B13))</f>
        <v>1130</v>
      </c>
      <c r="F13" s="16"/>
      <c r="H13" s="33">
        <f>'V_1,1pu_DIG'!H13</f>
        <v>1992910.7564471401</v>
      </c>
      <c r="I13" s="8">
        <f t="shared" si="3"/>
        <v>4030353.420022612</v>
      </c>
      <c r="J13" s="12">
        <f t="shared" si="4"/>
        <v>727.64298958320956</v>
      </c>
      <c r="K13" s="1">
        <f t="shared" si="5"/>
        <v>1592093.6296202056</v>
      </c>
      <c r="L13" s="1">
        <f t="shared" si="7"/>
        <v>1592093.6296202056</v>
      </c>
      <c r="M13" s="14">
        <f t="shared" si="0"/>
        <v>1992.9107564471401</v>
      </c>
      <c r="N13" s="14">
        <f t="shared" si="0"/>
        <v>4030.3534200226118</v>
      </c>
      <c r="O13" s="14">
        <f t="shared" si="2"/>
        <v>1050.5294751039896</v>
      </c>
      <c r="P13" s="14">
        <f t="shared" si="1"/>
        <v>1592.0936296202055</v>
      </c>
      <c r="Q13" s="14">
        <f t="shared" si="6"/>
        <v>2550.7754524144129</v>
      </c>
      <c r="R13" s="7">
        <f t="shared" si="8"/>
        <v>0.78129603864611796</v>
      </c>
    </row>
    <row r="14" spans="1:19" ht="16.5" thickTop="1" thickBot="1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H14" s="33">
        <f>'V_1,1pu_DIG'!H14</f>
        <v>2214345.2849412668</v>
      </c>
      <c r="I14" s="8">
        <f t="shared" si="3"/>
        <v>3897655.6286481628</v>
      </c>
      <c r="J14" s="12">
        <f t="shared" si="4"/>
        <v>724.67542533232916</v>
      </c>
      <c r="K14" s="1">
        <f t="shared" si="5"/>
        <v>1574110.6536290869</v>
      </c>
      <c r="L14" s="1">
        <f t="shared" si="7"/>
        <v>1574110.6536290869</v>
      </c>
      <c r="M14" s="14">
        <f t="shared" si="0"/>
        <v>2214.345284941267</v>
      </c>
      <c r="N14" s="14">
        <f t="shared" si="0"/>
        <v>3897.6556286481627</v>
      </c>
      <c r="O14" s="14">
        <f t="shared" si="2"/>
        <v>1046.2858582252306</v>
      </c>
      <c r="P14" s="14">
        <f t="shared" si="1"/>
        <v>1574.110653629087</v>
      </c>
      <c r="Q14" s="14">
        <f t="shared" si="6"/>
        <v>2716.8270815070678</v>
      </c>
      <c r="R14" s="7">
        <f t="shared" si="8"/>
        <v>0.81504829660080313</v>
      </c>
    </row>
    <row r="15" spans="1:19" ht="16.5" thickTop="1" thickBot="1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H15" s="33">
        <f>'V_1,1pu_DIG'!H15</f>
        <v>2435779.8134353934</v>
      </c>
      <c r="I15" s="8">
        <f t="shared" si="3"/>
        <v>3744770.7147278599</v>
      </c>
      <c r="J15" s="12">
        <f t="shared" si="4"/>
        <v>721.24127233143849</v>
      </c>
      <c r="K15" s="1">
        <f t="shared" si="5"/>
        <v>1554220.1917096172</v>
      </c>
      <c r="L15" s="1">
        <f t="shared" si="7"/>
        <v>1554220.1917096172</v>
      </c>
      <c r="M15" s="14">
        <f t="shared" si="0"/>
        <v>2435.7798134353934</v>
      </c>
      <c r="N15" s="14">
        <f t="shared" si="0"/>
        <v>3744.7707147278597</v>
      </c>
      <c r="O15" s="14">
        <f t="shared" si="2"/>
        <v>1041.375019433957</v>
      </c>
      <c r="P15" s="14">
        <f t="shared" si="1"/>
        <v>1554.2201917096172</v>
      </c>
      <c r="Q15" s="14">
        <f t="shared" si="6"/>
        <v>2889.3985020860723</v>
      </c>
      <c r="R15" s="7">
        <f t="shared" si="8"/>
        <v>0.8430058407231894</v>
      </c>
    </row>
    <row r="16" spans="1:19" ht="16.5" thickTop="1" thickBot="1">
      <c r="A16" s="21" t="s">
        <v>50</v>
      </c>
      <c r="B16" s="20">
        <f>B14*B15</f>
        <v>1.1831619047619049</v>
      </c>
      <c r="F16" s="16"/>
      <c r="H16" s="33">
        <f>'V_1,1pu_DIG'!H16</f>
        <v>2657214.34192952</v>
      </c>
      <c r="I16" s="8">
        <f t="shared" si="3"/>
        <v>3568727.8003993998</v>
      </c>
      <c r="J16" s="12">
        <f t="shared" si="4"/>
        <v>717.26657012524424</v>
      </c>
      <c r="K16" s="1">
        <f t="shared" si="5"/>
        <v>1532417.8410987239</v>
      </c>
      <c r="L16" s="1">
        <f t="shared" si="7"/>
        <v>1532417.8410987239</v>
      </c>
      <c r="M16" s="14">
        <f t="shared" si="0"/>
        <v>2657.2143419295198</v>
      </c>
      <c r="N16" s="14">
        <f t="shared" si="0"/>
        <v>3568.7278003993997</v>
      </c>
      <c r="O16" s="14">
        <f t="shared" si="2"/>
        <v>1035.6911952790992</v>
      </c>
      <c r="P16" s="14">
        <f t="shared" si="1"/>
        <v>1532.417841098724</v>
      </c>
      <c r="Q16" s="14">
        <f t="shared" si="6"/>
        <v>3067.4244079803507</v>
      </c>
      <c r="R16" s="7">
        <f t="shared" si="8"/>
        <v>0.86626889158747977</v>
      </c>
    </row>
    <row r="17" spans="1:18" ht="16.5" thickTop="1" thickBot="1">
      <c r="A17" s="21"/>
      <c r="B17" s="20"/>
      <c r="F17" s="16"/>
      <c r="H17" s="33">
        <f>'V_1,1pu_DIG'!H17</f>
        <v>2878648.8704236466</v>
      </c>
      <c r="I17" s="8">
        <f t="shared" si="3"/>
        <v>3365329.442331573</v>
      </c>
      <c r="J17" s="12">
        <f t="shared" si="4"/>
        <v>712.64663319556178</v>
      </c>
      <c r="K17" s="1">
        <f t="shared" si="5"/>
        <v>1508698.7602548804</v>
      </c>
      <c r="L17" s="1">
        <f t="shared" si="7"/>
        <v>1508698.7602548804</v>
      </c>
      <c r="M17" s="14">
        <f t="shared" si="0"/>
        <v>2878.6488704236467</v>
      </c>
      <c r="N17" s="14">
        <f t="shared" si="0"/>
        <v>3365.3294423315729</v>
      </c>
      <c r="O17" s="14">
        <f t="shared" si="2"/>
        <v>1029.0846854696533</v>
      </c>
      <c r="P17" s="14">
        <f t="shared" si="1"/>
        <v>1508.6987602548804</v>
      </c>
      <c r="Q17" s="14">
        <f t="shared" si="6"/>
        <v>3250.0448102119994</v>
      </c>
      <c r="R17" s="7">
        <f t="shared" si="8"/>
        <v>0.88572590180252719</v>
      </c>
    </row>
    <row r="18" spans="1:18" ht="20.25" thickTop="1" thickBot="1">
      <c r="A18" s="23" t="s">
        <v>53</v>
      </c>
      <c r="B18" s="24">
        <f>MIN(B16,B11)</f>
        <v>1.1831619047619049</v>
      </c>
      <c r="F18" s="16"/>
      <c r="H18" s="33">
        <f>'V_1,1pu_DIG'!H18</f>
        <v>3100083.3989177733</v>
      </c>
      <c r="I18" s="8">
        <f t="shared" si="3"/>
        <v>3128342.1200643079</v>
      </c>
      <c r="J18" s="12">
        <f t="shared" si="4"/>
        <v>707.2256994744846</v>
      </c>
      <c r="K18" s="1">
        <f t="shared" si="5"/>
        <v>1483057.6634120531</v>
      </c>
      <c r="L18" s="1">
        <f t="shared" si="7"/>
        <v>1483057.6634120531</v>
      </c>
      <c r="M18" s="14">
        <f t="shared" si="0"/>
        <v>3100.0833989177731</v>
      </c>
      <c r="N18" s="14">
        <f t="shared" si="0"/>
        <v>3128.3421200643079</v>
      </c>
      <c r="O18" s="14">
        <f t="shared" si="2"/>
        <v>1021.332750248513</v>
      </c>
      <c r="P18" s="14">
        <f t="shared" si="1"/>
        <v>1483.0576634120532</v>
      </c>
      <c r="Q18" s="14">
        <f t="shared" si="6"/>
        <v>3436.5647256018315</v>
      </c>
      <c r="R18" s="7">
        <f t="shared" si="8"/>
        <v>0.90208788323486855</v>
      </c>
    </row>
    <row r="19" spans="1:18" ht="16.5" thickTop="1" thickBot="1">
      <c r="A19" s="21"/>
      <c r="B19" s="20"/>
      <c r="F19" s="16"/>
      <c r="H19" s="33">
        <f>'V_1,1pu_DIG'!H19</f>
        <v>3321517.9274118999</v>
      </c>
      <c r="I19" s="8">
        <f t="shared" si="3"/>
        <v>2847812.051163387</v>
      </c>
      <c r="J19" s="12">
        <f t="shared" si="4"/>
        <v>700.75455442573912</v>
      </c>
      <c r="K19" s="1">
        <f t="shared" si="5"/>
        <v>1455488.8145992979</v>
      </c>
      <c r="L19" s="1">
        <f t="shared" si="7"/>
        <v>1455488.8145992979</v>
      </c>
      <c r="M19" s="14">
        <f t="shared" si="0"/>
        <v>3321.5179274119</v>
      </c>
      <c r="N19" s="14">
        <f t="shared" si="0"/>
        <v>2847.812051163387</v>
      </c>
      <c r="O19" s="14">
        <f t="shared" si="2"/>
        <v>1012.0790128288069</v>
      </c>
      <c r="P19" s="14">
        <f t="shared" si="1"/>
        <v>1455.4888145992979</v>
      </c>
      <c r="Q19" s="14">
        <f t="shared" si="6"/>
        <v>3626.4209672268212</v>
      </c>
      <c r="R19" s="7">
        <f t="shared" si="8"/>
        <v>0.91592177450703272</v>
      </c>
    </row>
    <row r="20" spans="1:18" ht="16.5" thickTop="1" thickBot="1">
      <c r="A20" s="21" t="s">
        <v>36</v>
      </c>
      <c r="B20" s="4">
        <f>(D8-10)/1.43</f>
        <v>658.39160839160843</v>
      </c>
      <c r="F20" s="16"/>
      <c r="H20" s="33">
        <f>'V_1,1pu_DIG'!H20</f>
        <v>3542952.4559060265</v>
      </c>
      <c r="I20" s="8">
        <f t="shared" si="3"/>
        <v>2505960.657382383</v>
      </c>
      <c r="J20" s="12">
        <f t="shared" si="4"/>
        <v>692.78717209884803</v>
      </c>
      <c r="K20" s="1">
        <f t="shared" si="5"/>
        <v>1425986.0211099498</v>
      </c>
      <c r="L20" s="1">
        <f t="shared" si="7"/>
        <v>1425986.0211099498</v>
      </c>
      <c r="M20" s="14">
        <f t="shared" si="0"/>
        <v>3542.9524559060264</v>
      </c>
      <c r="N20" s="14">
        <f t="shared" si="0"/>
        <v>2505.960657382383</v>
      </c>
      <c r="O20" s="14">
        <f t="shared" si="2"/>
        <v>1000.6856561013526</v>
      </c>
      <c r="P20" s="14">
        <f t="shared" si="1"/>
        <v>1425.9860211099499</v>
      </c>
      <c r="Q20" s="14">
        <f t="shared" si="6"/>
        <v>3819.1554350682732</v>
      </c>
      <c r="R20" s="7">
        <f t="shared" si="8"/>
        <v>0.92767956584691635</v>
      </c>
    </row>
    <row r="21" spans="1:18" ht="16.5" thickTop="1" thickBot="1">
      <c r="A21" s="21" t="s">
        <v>34</v>
      </c>
      <c r="B21" s="5">
        <f>IF(B25=1,(IF(B9*B10&gt;B18,B18,B9*B10))*Ii_r,B26)</f>
        <v>1242.3200000000002</v>
      </c>
      <c r="F21" s="16"/>
      <c r="H21" s="33">
        <f>'V_1,1pu_DIG'!H21</f>
        <v>3598311.0880295583</v>
      </c>
      <c r="I21" s="8">
        <f t="shared" si="3"/>
        <v>2407274.2827237663</v>
      </c>
      <c r="J21" s="12">
        <f t="shared" si="4"/>
        <v>690.47003070843243</v>
      </c>
      <c r="K21" s="1">
        <f t="shared" si="5"/>
        <v>1418307.3741174303</v>
      </c>
      <c r="L21" s="1">
        <f t="shared" si="7"/>
        <v>1418307.3741174303</v>
      </c>
      <c r="M21" s="14">
        <f t="shared" si="0"/>
        <v>3598.3110880295585</v>
      </c>
      <c r="N21" s="14">
        <f t="shared" si="0"/>
        <v>2407.2742827237662</v>
      </c>
      <c r="O21" s="14">
        <f t="shared" si="2"/>
        <v>997.37214391305838</v>
      </c>
      <c r="P21" s="14">
        <f t="shared" si="1"/>
        <v>1418.3073741174303</v>
      </c>
      <c r="Q21" s="14">
        <f t="shared" si="6"/>
        <v>3867.7433334843131</v>
      </c>
      <c r="R21" s="7">
        <f t="shared" si="8"/>
        <v>0.93033864395235544</v>
      </c>
    </row>
    <row r="22" spans="1:18" ht="20.25" thickTop="1" thickBot="1">
      <c r="A22" s="21" t="s">
        <v>59</v>
      </c>
      <c r="B22" s="1">
        <f>Nm*SQRT(3)*B3*Ii/K_3^2</f>
        <v>4106603.9829819864</v>
      </c>
      <c r="C22" s="25" t="s">
        <v>74</v>
      </c>
      <c r="D22" s="26">
        <f>B22/1000</f>
        <v>4106.6039829819865</v>
      </c>
      <c r="F22" s="16"/>
      <c r="H22" s="33">
        <f>'V_1,1pu_DIG'!H22</f>
        <v>3653669.7201530901</v>
      </c>
      <c r="I22" s="8">
        <f t="shared" si="3"/>
        <v>2301672.5762416483</v>
      </c>
      <c r="J22" s="12">
        <f t="shared" si="4"/>
        <v>687.98187475069119</v>
      </c>
      <c r="K22" s="1">
        <f t="shared" si="5"/>
        <v>1410507.3332670238</v>
      </c>
      <c r="L22" s="1">
        <f t="shared" si="7"/>
        <v>1410507.3332670238</v>
      </c>
      <c r="M22" s="14">
        <f t="shared" si="0"/>
        <v>3653.6697201530901</v>
      </c>
      <c r="N22" s="14">
        <f t="shared" si="0"/>
        <v>2301.6725762416481</v>
      </c>
      <c r="O22" s="14">
        <f t="shared" si="2"/>
        <v>993.81408089348838</v>
      </c>
      <c r="P22" s="14">
        <f t="shared" si="1"/>
        <v>1410.5073332670238</v>
      </c>
      <c r="Q22" s="14">
        <f t="shared" si="6"/>
        <v>3916.4822687155893</v>
      </c>
      <c r="R22" s="7">
        <f t="shared" si="8"/>
        <v>0.93289576448186284</v>
      </c>
    </row>
    <row r="23" spans="1:18" ht="20.25" thickTop="1" thickBot="1">
      <c r="A23" s="21" t="s">
        <v>51</v>
      </c>
      <c r="B23" s="1">
        <f>B3*Ii*SQRT(3)*Nm</f>
        <v>4082321.6507861135</v>
      </c>
      <c r="C23" s="25" t="s">
        <v>52</v>
      </c>
      <c r="D23" s="26">
        <f>B23/1000</f>
        <v>4082.3216507861134</v>
      </c>
      <c r="F23" s="16"/>
      <c r="H23" s="33">
        <f>'V_1,1pu_DIG'!H23</f>
        <v>3709028.3522766219</v>
      </c>
      <c r="I23" s="8">
        <f t="shared" si="3"/>
        <v>2187892.7279043524</v>
      </c>
      <c r="J23" s="12">
        <f t="shared" si="4"/>
        <v>685.29091739729131</v>
      </c>
      <c r="K23" s="1">
        <f t="shared" si="5"/>
        <v>1402585.7881256416</v>
      </c>
      <c r="L23" s="1">
        <f t="shared" si="7"/>
        <v>1402585.7881256416</v>
      </c>
      <c r="M23" s="14">
        <f t="shared" si="0"/>
        <v>3709.0283522766217</v>
      </c>
      <c r="N23" s="14">
        <f t="shared" si="0"/>
        <v>2187.8927279043523</v>
      </c>
      <c r="O23" s="14">
        <f t="shared" si="2"/>
        <v>989.96601187812655</v>
      </c>
      <c r="P23" s="14">
        <f t="shared" si="1"/>
        <v>1402.5857881256416</v>
      </c>
      <c r="Q23" s="14">
        <f t="shared" si="6"/>
        <v>3965.367348814465</v>
      </c>
      <c r="R23" s="7">
        <f t="shared" si="8"/>
        <v>0.93535554868214632</v>
      </c>
    </row>
    <row r="24" spans="1:18" ht="16.5" thickTop="1" thickBot="1">
      <c r="A24" s="27"/>
      <c r="F24" s="16"/>
      <c r="H24" s="33">
        <f>'V_1,1pu_DIG'!H24</f>
        <v>3764386.9844001536</v>
      </c>
      <c r="I24" s="8">
        <f t="shared" si="3"/>
        <v>2064202.3953676145</v>
      </c>
      <c r="J24" s="12">
        <f t="shared" si="4"/>
        <v>682.35353268724111</v>
      </c>
      <c r="K24" s="1">
        <f t="shared" si="5"/>
        <v>1394542.6264027767</v>
      </c>
      <c r="L24" s="1">
        <f t="shared" si="7"/>
        <v>1394542.6264027767</v>
      </c>
      <c r="M24" s="14">
        <f t="shared" si="0"/>
        <v>3764.3869844001538</v>
      </c>
      <c r="N24" s="14">
        <f t="shared" si="0"/>
        <v>2064.2023953676144</v>
      </c>
      <c r="O24" s="14">
        <f t="shared" si="2"/>
        <v>985.76555174275472</v>
      </c>
      <c r="P24" s="14">
        <f t="shared" si="1"/>
        <v>1394.5426264027767</v>
      </c>
      <c r="Q24" s="14">
        <f t="shared" si="6"/>
        <v>4014.3939150481528</v>
      </c>
      <c r="R24" s="7">
        <f t="shared" si="8"/>
        <v>0.93772237205949427</v>
      </c>
    </row>
    <row r="25" spans="1:18" ht="16.5" thickTop="1" thickBot="1">
      <c r="A25" s="3" t="s">
        <v>38</v>
      </c>
      <c r="B25" s="6">
        <f>Capability!B25</f>
        <v>1</v>
      </c>
      <c r="F25" s="16"/>
      <c r="H25" s="33">
        <f>'V_1,1pu_DIG'!H25</f>
        <v>3819745.6165236854</v>
      </c>
      <c r="I25" s="8">
        <f t="shared" si="3"/>
        <v>1928109.5496575246</v>
      </c>
      <c r="J25" s="12">
        <f t="shared" si="4"/>
        <v>679.10693451125644</v>
      </c>
      <c r="K25" s="1">
        <f t="shared" si="5"/>
        <v>1386377.7339423671</v>
      </c>
      <c r="L25" s="1">
        <f t="shared" si="7"/>
        <v>1386377.7339423671</v>
      </c>
      <c r="M25" s="14">
        <f t="shared" si="0"/>
        <v>3819.7456165236854</v>
      </c>
      <c r="N25" s="14">
        <f t="shared" si="0"/>
        <v>1928.1095496575247</v>
      </c>
      <c r="O25" s="14">
        <f t="shared" si="2"/>
        <v>981.12291635109671</v>
      </c>
      <c r="P25" s="14">
        <f t="shared" si="1"/>
        <v>1386.3777339423671</v>
      </c>
      <c r="Q25" s="14">
        <f t="shared" si="6"/>
        <v>4063.557529569759</v>
      </c>
      <c r="R25" s="7">
        <f t="shared" si="8"/>
        <v>0.94000037866527064</v>
      </c>
    </row>
    <row r="26" spans="1:18" ht="16.5" thickTop="1" thickBot="1">
      <c r="A26" s="3" t="s">
        <v>25</v>
      </c>
      <c r="B26" s="6">
        <f>Capability!B26</f>
        <v>1250</v>
      </c>
      <c r="F26" s="16"/>
      <c r="H26" s="33">
        <f>'V_1,1pu_DIG'!H26</f>
        <v>3875104.2486472172</v>
      </c>
      <c r="I26" s="8">
        <f t="shared" si="3"/>
        <v>1775789.8002913417</v>
      </c>
      <c r="J26" s="12">
        <f t="shared" si="4"/>
        <v>675.4547247076224</v>
      </c>
      <c r="K26" s="1">
        <f t="shared" si="5"/>
        <v>1378090.9947144426</v>
      </c>
      <c r="L26" s="1">
        <f t="shared" si="7"/>
        <v>1378090.9947144426</v>
      </c>
      <c r="M26" s="14">
        <f t="shared" si="0"/>
        <v>3875.104248647217</v>
      </c>
      <c r="N26" s="14">
        <f t="shared" si="0"/>
        <v>1775.7898002913416</v>
      </c>
      <c r="O26" s="14">
        <f t="shared" si="2"/>
        <v>975.90025633189998</v>
      </c>
      <c r="P26" s="14">
        <f t="shared" si="1"/>
        <v>1378.0909947144426</v>
      </c>
      <c r="Q26" s="14">
        <f t="shared" si="6"/>
        <v>4112.8539638062466</v>
      </c>
      <c r="R26" s="7">
        <f t="shared" si="8"/>
        <v>0.94219349452928214</v>
      </c>
    </row>
    <row r="27" spans="1:18" ht="16.5" thickTop="1" thickBot="1">
      <c r="A27" s="27"/>
      <c r="F27" s="16"/>
      <c r="H27" s="33">
        <f>'V_1,1pu_DIG'!H27</f>
        <v>3930462.8807707489</v>
      </c>
      <c r="I27" s="8">
        <f t="shared" si="3"/>
        <v>1600797.3496783152</v>
      </c>
      <c r="J27" s="12">
        <f t="shared" si="4"/>
        <v>671.23435736156989</v>
      </c>
      <c r="K27" s="1">
        <f t="shared" si="5"/>
        <v>1369682.2908066642</v>
      </c>
      <c r="L27" s="1">
        <f t="shared" si="7"/>
        <v>1369682.2908066642</v>
      </c>
      <c r="M27" s="14">
        <f t="shared" si="0"/>
        <v>3930.4628807707491</v>
      </c>
      <c r="N27" s="14">
        <f t="shared" si="0"/>
        <v>1600.7973496783152</v>
      </c>
      <c r="O27" s="14">
        <f t="shared" si="2"/>
        <v>969.86513102704487</v>
      </c>
      <c r="P27" s="14">
        <f t="shared" si="1"/>
        <v>1369.6822908066642</v>
      </c>
      <c r="Q27" s="14">
        <f t="shared" si="6"/>
        <v>4162.279187520473</v>
      </c>
      <c r="R27" s="7">
        <f t="shared" si="8"/>
        <v>0.94430544028743535</v>
      </c>
    </row>
    <row r="28" spans="1:18" ht="16.5" thickTop="1" thickBot="1">
      <c r="A28" s="27" t="s">
        <v>73</v>
      </c>
      <c r="F28" s="16"/>
      <c r="H28" s="33">
        <f>'V_1,1pu_DIG'!H28</f>
        <v>3985821.5128942807</v>
      </c>
      <c r="I28" s="8">
        <f t="shared" si="3"/>
        <v>1390512.3463553856</v>
      </c>
      <c r="J28" s="12">
        <f t="shared" si="4"/>
        <v>666.12745371077983</v>
      </c>
      <c r="K28" s="1">
        <f t="shared" si="5"/>
        <v>1361151.5024156906</v>
      </c>
      <c r="L28" s="1">
        <f t="shared" si="7"/>
        <v>1361151.5024156906</v>
      </c>
      <c r="M28" s="14">
        <f t="shared" si="0"/>
        <v>3985.8215128942807</v>
      </c>
      <c r="N28" s="14">
        <f t="shared" si="0"/>
        <v>1390.5123463553857</v>
      </c>
      <c r="O28" s="14">
        <f t="shared" si="2"/>
        <v>962.56225880641512</v>
      </c>
      <c r="P28" s="14">
        <f t="shared" si="1"/>
        <v>1361.1515024156906</v>
      </c>
      <c r="Q28" s="14">
        <f t="shared" si="6"/>
        <v>4211.8293585067458</v>
      </c>
      <c r="R28" s="7">
        <f t="shared" si="8"/>
        <v>0.94633974304870849</v>
      </c>
    </row>
    <row r="29" spans="1:18" ht="16.5" thickTop="1" thickBot="1">
      <c r="A29" s="3" t="s">
        <v>54</v>
      </c>
      <c r="B29" s="6">
        <f>Capability!B29</f>
        <v>2846</v>
      </c>
      <c r="C29" s="2">
        <f>IF(B29&gt;D23,D23,B29)</f>
        <v>2846</v>
      </c>
      <c r="F29" s="16"/>
      <c r="H29" s="33">
        <f>'V_1,1pu_DIG'!H29</f>
        <v>4041180.1450178125</v>
      </c>
      <c r="I29" s="8">
        <f t="shared" si="3"/>
        <v>1111939.8209381753</v>
      </c>
      <c r="J29" s="12">
        <f t="shared" si="4"/>
        <v>659.30123506152916</v>
      </c>
      <c r="K29" s="1">
        <f t="shared" si="5"/>
        <v>1352498.5078383721</v>
      </c>
      <c r="L29" s="1">
        <f t="shared" si="7"/>
        <v>1111939.8209381753</v>
      </c>
      <c r="M29" s="14">
        <f t="shared" si="0"/>
        <v>4041.1801450178127</v>
      </c>
      <c r="N29" s="14">
        <f t="shared" si="0"/>
        <v>1111.9398209381752</v>
      </c>
      <c r="O29" s="14">
        <f t="shared" si="2"/>
        <v>952.80076613798667</v>
      </c>
      <c r="P29" s="14">
        <f t="shared" si="1"/>
        <v>1111.9398209381752</v>
      </c>
      <c r="Q29" s="14">
        <f t="shared" si="6"/>
        <v>4191.3657833544203</v>
      </c>
      <c r="R29" s="7">
        <f t="shared" si="8"/>
        <v>0.96416785217528511</v>
      </c>
    </row>
    <row r="30" spans="1:18" ht="16.5" thickTop="1" thickBot="1">
      <c r="A30" s="27"/>
      <c r="B30" s="1" t="s">
        <v>69</v>
      </c>
      <c r="C30" s="1">
        <f xml:space="preserve"> Nm/1000*(-SQRT(3/K_3^2*Ii^2*B3^2-($C$29*1000/Nm)^2)+B3^2*K_4/K_3)</f>
        <v>-2489.9437234770335</v>
      </c>
      <c r="F30" s="16"/>
      <c r="H30" s="33">
        <f>'V_1,1pu_DIG'!H30</f>
        <v>4096538.7771413443</v>
      </c>
      <c r="I30" s="8">
        <f t="shared" si="3"/>
        <v>453653.11558429606</v>
      </c>
      <c r="J30" s="12">
        <f t="shared" si="4"/>
        <v>642.89119042695529</v>
      </c>
      <c r="K30" s="1">
        <f t="shared" si="5"/>
        <v>1343723.1834628209</v>
      </c>
      <c r="L30" s="1">
        <f t="shared" si="7"/>
        <v>453653.11558429606</v>
      </c>
      <c r="M30" s="14">
        <f t="shared" si="0"/>
        <v>4096.5387771413443</v>
      </c>
      <c r="N30" s="14">
        <f t="shared" si="0"/>
        <v>453.65311558429607</v>
      </c>
      <c r="O30" s="14">
        <f t="shared" si="2"/>
        <v>929.33440231054601</v>
      </c>
      <c r="P30" s="14">
        <f t="shared" si="1"/>
        <v>453.65311558429607</v>
      </c>
      <c r="Q30" s="14">
        <f t="shared" si="6"/>
        <v>4121.5811410066935</v>
      </c>
      <c r="R30" s="7">
        <f t="shared" si="8"/>
        <v>0.99392408810876098</v>
      </c>
    </row>
    <row r="31" spans="1:18" ht="16.5" thickTop="1" thickBot="1">
      <c r="A31" s="27"/>
      <c r="B31" s="1" t="s">
        <v>68</v>
      </c>
      <c r="C31" s="1">
        <f>IF(ABS( Nm/1000*(SQRT(3/K_3^2*Ii^2*B3^2-($C$29*1000/Nm)^2)+B3^2*K_4/K_3))&lt;ABS(Nm/1000*(SQRT(Vi^2*B3^2/K_2^2-($C$29*1000/Nm)^2)-B3^2*K_1/K_2)),Nm/1000*(SQRT(3/K_3^2*Ii^2*B3^2-($C$29*1000/Nm)^2)+B3^2*K_4/K_3), Nm/1000*(SQRT(Vi^2*B3^2/K_2^2-($C$29*1000/Nm)^2)-B3^2*K_1/K_2))</f>
        <v>1512.3166316687409</v>
      </c>
      <c r="F31" s="16"/>
      <c r="H31" s="33">
        <f>'V_1,1pu_DIG'!H31</f>
        <v>4151897.409264876</v>
      </c>
      <c r="I31" s="8">
        <f t="shared" si="3"/>
        <v>453653.11558429606</v>
      </c>
      <c r="J31" s="12">
        <f t="shared" si="4"/>
        <v>643.1239395932862</v>
      </c>
      <c r="K31" s="1">
        <f t="shared" si="5"/>
        <v>1334825.4037592802</v>
      </c>
      <c r="L31" s="1">
        <f t="shared" si="7"/>
        <v>453653.11558429606</v>
      </c>
      <c r="M31" s="14">
        <f t="shared" si="0"/>
        <v>4151.8974092648759</v>
      </c>
      <c r="N31" s="14">
        <f t="shared" si="0"/>
        <v>453.65311558429607</v>
      </c>
      <c r="O31" s="14">
        <f t="shared" si="2"/>
        <v>929.66723361839922</v>
      </c>
      <c r="P31" s="14">
        <f t="shared" si="1"/>
        <v>453.65311558429607</v>
      </c>
      <c r="Q31" s="14">
        <f t="shared" si="6"/>
        <v>4176.6078636065085</v>
      </c>
      <c r="R31" s="7">
        <f t="shared" si="8"/>
        <v>0.9940836068051897</v>
      </c>
    </row>
    <row r="32" spans="1:18" ht="16.5" thickTop="1" thickBot="1">
      <c r="A32" s="3" t="s">
        <v>55</v>
      </c>
      <c r="B32" s="6">
        <f>Capability!B32</f>
        <v>0</v>
      </c>
      <c r="C32" s="2">
        <f>IF(B32&lt;C30,C30,IF(B32&gt;C31,C31,B32))</f>
        <v>0</v>
      </c>
      <c r="F32" s="16"/>
      <c r="H32" s="33">
        <f>'V_1,1pu_DIG'!H32</f>
        <v>4207256.0413884073</v>
      </c>
      <c r="I32" s="8">
        <f t="shared" si="3"/>
        <v>453653.11558429606</v>
      </c>
      <c r="J32" s="12">
        <f t="shared" si="4"/>
        <v>643.35972700458069</v>
      </c>
      <c r="K32" s="1">
        <f t="shared" si="5"/>
        <v>1325805.0412708651</v>
      </c>
      <c r="L32" s="1">
        <f t="shared" si="7"/>
        <v>453653.11558429606</v>
      </c>
      <c r="M32" s="14">
        <f t="shared" si="0"/>
        <v>4207.2560413884075</v>
      </c>
      <c r="N32" s="14">
        <f t="shared" si="0"/>
        <v>453.65311558429607</v>
      </c>
      <c r="O32" s="14">
        <f t="shared" si="2"/>
        <v>930.00440961655033</v>
      </c>
      <c r="P32" s="14">
        <f t="shared" si="1"/>
        <v>453.65311558429607</v>
      </c>
      <c r="Q32" s="14">
        <f t="shared" si="6"/>
        <v>4231.6432443057611</v>
      </c>
      <c r="R32" s="7">
        <f t="shared" si="8"/>
        <v>0.99423694259903173</v>
      </c>
    </row>
    <row r="33" spans="1:18" ht="16.5" thickTop="1" thickBot="1">
      <c r="A33" s="21" t="s">
        <v>56</v>
      </c>
      <c r="B33" s="1">
        <f>C29/SQRT(C29^2+C32^2)</f>
        <v>1</v>
      </c>
      <c r="C33" s="1" t="s">
        <v>60</v>
      </c>
      <c r="D33" s="1">
        <f>SQRT(C29^2+C32^2)/(SQRT(3)*B3)*1000</f>
        <v>2598.2588015712763</v>
      </c>
      <c r="F33" s="16"/>
      <c r="H33" s="33">
        <f>'V_1,1pu_DIG'!H33</f>
        <v>4262614.6735119391</v>
      </c>
      <c r="I33" s="8">
        <f t="shared" si="3"/>
        <v>453653.11558429606</v>
      </c>
      <c r="J33" s="12">
        <f t="shared" si="4"/>
        <v>643.59854932158396</v>
      </c>
      <c r="K33" s="1">
        <f t="shared" si="5"/>
        <v>1316661.9666041303</v>
      </c>
      <c r="L33" s="1">
        <f t="shared" si="7"/>
        <v>453653.11558429606</v>
      </c>
      <c r="M33" s="14">
        <f t="shared" si="0"/>
        <v>4262.6146735119391</v>
      </c>
      <c r="N33" s="14">
        <f t="shared" si="0"/>
        <v>453.65311558429607</v>
      </c>
      <c r="O33" s="14">
        <f t="shared" si="2"/>
        <v>930.34592552986499</v>
      </c>
      <c r="P33" s="14">
        <f t="shared" si="1"/>
        <v>453.65311558429607</v>
      </c>
      <c r="Q33" s="14">
        <f t="shared" si="6"/>
        <v>4286.6869496288891</v>
      </c>
      <c r="R33" s="7">
        <f t="shared" si="8"/>
        <v>0.99438441005844058</v>
      </c>
    </row>
    <row r="34" spans="1:18" ht="20.25" thickTop="1" thickBot="1">
      <c r="A34" s="23" t="s">
        <v>57</v>
      </c>
      <c r="B34" s="25">
        <f>Vdc_offset+Vac_to_Vdc*SQRT(3)*SQRT(K_1^2*B3^2/3+K_2^2/3*($C$29^2+$C$32^2)*1000^2/B3^2/Nm^2+2/3*K_1*K_2*$C$32*1000/Nm)</f>
        <v>906.48441724820691</v>
      </c>
      <c r="F34" s="16"/>
      <c r="H34" s="33">
        <f>'V_1,1pu_DIG'!H34</f>
        <v>4317973.3056354709</v>
      </c>
      <c r="I34" s="8">
        <f t="shared" si="3"/>
        <v>453653.11558429606</v>
      </c>
      <c r="J34" s="12">
        <f t="shared" si="4"/>
        <v>643.84040316704636</v>
      </c>
      <c r="K34" s="1">
        <f t="shared" si="5"/>
        <v>1307396.0484194532</v>
      </c>
      <c r="L34" s="1">
        <f t="shared" si="7"/>
        <v>453653.11558429606</v>
      </c>
      <c r="M34" s="14">
        <f t="shared" si="0"/>
        <v>4317.9733056354708</v>
      </c>
      <c r="N34" s="14">
        <f t="shared" si="0"/>
        <v>453.65311558429607</v>
      </c>
      <c r="O34" s="14">
        <f t="shared" si="2"/>
        <v>930.69177652887629</v>
      </c>
      <c r="P34" s="14">
        <f t="shared" si="1"/>
        <v>453.65311558429607</v>
      </c>
      <c r="Q34" s="14">
        <f t="shared" si="6"/>
        <v>4341.7386629620914</v>
      </c>
      <c r="R34" s="7">
        <f t="shared" si="8"/>
        <v>0.99452630405202536</v>
      </c>
    </row>
    <row r="35" spans="1:18" ht="16.5" thickTop="1" thickBot="1">
      <c r="A35" s="21" t="s">
        <v>58</v>
      </c>
      <c r="B35" s="1">
        <f>SQRT(3)*SQRT(K_1^2*B3^2/3+K_2^2/3*($C$29^2+$C$32^2)*1000^2/B3^2/Nm^2+2/3*K_1*K_2*$C$32*1000/Nm)</f>
        <v>626.91217989385098</v>
      </c>
      <c r="F35" s="16"/>
      <c r="H35" s="33">
        <f>'V_1,1pu_DIG'!H35</f>
        <v>4373331.9377590027</v>
      </c>
      <c r="I35" s="8">
        <f t="shared" si="3"/>
        <v>453653.11558429606</v>
      </c>
      <c r="J35" s="12">
        <f t="shared" si="4"/>
        <v>644.08528512595365</v>
      </c>
      <c r="K35" s="1">
        <f t="shared" si="5"/>
        <v>1298007.1534212828</v>
      </c>
      <c r="L35" s="1">
        <f t="shared" si="7"/>
        <v>453653.11558429606</v>
      </c>
      <c r="M35" s="14">
        <f t="shared" si="0"/>
        <v>4373.3319377590024</v>
      </c>
      <c r="N35" s="14">
        <f t="shared" si="0"/>
        <v>453.65311558429607</v>
      </c>
      <c r="O35" s="14">
        <f t="shared" si="2"/>
        <v>931.04195773011372</v>
      </c>
      <c r="P35" s="14">
        <f t="shared" si="1"/>
        <v>453.65311558429607</v>
      </c>
      <c r="Q35" s="14">
        <f t="shared" si="6"/>
        <v>4396.7980835037497</v>
      </c>
      <c r="R35" s="7">
        <f t="shared" si="8"/>
        <v>0.99466290120695111</v>
      </c>
    </row>
    <row r="36" spans="1:18" ht="16.5" thickTop="1" thickBot="1">
      <c r="F36" s="16"/>
      <c r="H36" s="33">
        <f>'V_1,1pu_DIG'!H36</f>
        <v>4428690.5698825344</v>
      </c>
      <c r="I36" s="8">
        <f t="shared" si="3"/>
        <v>453653.11558429606</v>
      </c>
      <c r="J36" s="12">
        <f t="shared" ref="J36:J67" si="9">SQRT(3)*SQRT(($B$3/SQRT(3)*K_1+SQRT(H36^2+I36^2)/SQRT(3)/$B$3/Nm*I36/SQRT(H36^2+I36^2)*K_2)^2+(SQRT(H36^2+I36^2)/SQRT(3)/$B$3/Nm*H36/SQRT(H36^2+I36^2)*K_2)^2)</f>
        <v>644.33319174575831</v>
      </c>
      <c r="K36" s="1">
        <f t="shared" si="5"/>
        <v>1288495.1463481989</v>
      </c>
      <c r="L36" s="1">
        <f t="shared" si="7"/>
        <v>453653.11558429606</v>
      </c>
      <c r="M36" s="14">
        <f t="shared" si="0"/>
        <v>4428.6905698825349</v>
      </c>
      <c r="N36" s="14">
        <f t="shared" si="0"/>
        <v>453.65311558429607</v>
      </c>
      <c r="O36" s="14">
        <f t="shared" si="2"/>
        <v>931.39646419643429</v>
      </c>
      <c r="P36" s="14">
        <f t="shared" si="1"/>
        <v>453.65311558429607</v>
      </c>
      <c r="Q36" s="14">
        <f t="shared" si="6"/>
        <v>4451.8649252920768</v>
      </c>
      <c r="R36" s="7">
        <f t="shared" si="8"/>
        <v>0.99479446124299886</v>
      </c>
    </row>
    <row r="37" spans="1:18" ht="16.5" thickTop="1" thickBot="1">
      <c r="F37" s="16"/>
      <c r="H37" s="33">
        <f>'V_1,1pu_DIG'!H37</f>
        <v>4373331.9377590027</v>
      </c>
      <c r="I37" s="8">
        <f t="shared" ref="I37:I68" si="10">Nm*(-SQRT(IF(3/K_3^2*Ii^2*$B$3^2-(H37/Nm)^2&lt;0.0000000001,0,3/K_3^2*Ii^2*$B$3^2-(H37/Nm)^2))+$B$3^2/K_3*K_4)</f>
        <v>453653.11558429606</v>
      </c>
      <c r="J37" s="12">
        <f t="shared" si="9"/>
        <v>644.08528512595365</v>
      </c>
      <c r="K37" s="1">
        <f t="shared" ref="K37:K68" si="11">Nm*(-SQRT(Vi^2*$B$3^2/K_2^2-(H37/Nm)^2)-$B$3^2*K_1/K_2)</f>
        <v>-49938120.035865359</v>
      </c>
      <c r="L37" s="1">
        <f t="shared" si="7"/>
        <v>453653.11558429606</v>
      </c>
      <c r="M37" s="14">
        <f t="shared" si="0"/>
        <v>4373.3319377590024</v>
      </c>
      <c r="N37" s="14">
        <f t="shared" si="0"/>
        <v>453.65311558429607</v>
      </c>
      <c r="O37" s="14">
        <f t="shared" si="2"/>
        <v>931.04195773011372</v>
      </c>
      <c r="P37" s="14">
        <f t="shared" si="1"/>
        <v>453.65311558429607</v>
      </c>
      <c r="Q37" s="14">
        <f t="shared" si="6"/>
        <v>4396.7980835037497</v>
      </c>
      <c r="R37" s="7">
        <f t="shared" si="8"/>
        <v>0.99466290120695111</v>
      </c>
    </row>
    <row r="38" spans="1:18" ht="16.5" thickTop="1" thickBot="1">
      <c r="F38" s="16"/>
      <c r="H38" s="33">
        <f>'V_1,1pu_DIG'!H38</f>
        <v>4317973.3056354709</v>
      </c>
      <c r="I38" s="8">
        <f t="shared" si="10"/>
        <v>453653.11558429606</v>
      </c>
      <c r="J38" s="12">
        <f t="shared" si="9"/>
        <v>643.84040316704636</v>
      </c>
      <c r="K38" s="1">
        <f t="shared" si="11"/>
        <v>-49947508.930863529</v>
      </c>
      <c r="L38" s="1">
        <f t="shared" si="7"/>
        <v>453653.11558429606</v>
      </c>
      <c r="M38" s="14">
        <f t="shared" si="0"/>
        <v>4317.9733056354708</v>
      </c>
      <c r="N38" s="14">
        <f t="shared" si="0"/>
        <v>453.65311558429607</v>
      </c>
      <c r="O38" s="14">
        <f t="shared" si="2"/>
        <v>930.69177652887629</v>
      </c>
      <c r="P38" s="14">
        <f t="shared" si="1"/>
        <v>453.65311558429607</v>
      </c>
      <c r="Q38" s="14">
        <f t="shared" si="6"/>
        <v>4341.7386629620914</v>
      </c>
      <c r="R38" s="7">
        <f t="shared" si="8"/>
        <v>0.99452630405202536</v>
      </c>
    </row>
    <row r="39" spans="1:18" ht="16.5" thickTop="1" thickBot="1">
      <c r="F39" s="16"/>
      <c r="H39" s="33">
        <f>'V_1,1pu_DIG'!H39</f>
        <v>4262614.6735119391</v>
      </c>
      <c r="I39" s="8">
        <f t="shared" si="10"/>
        <v>453653.11558429606</v>
      </c>
      <c r="J39" s="12">
        <f t="shared" si="9"/>
        <v>643.59854932158396</v>
      </c>
      <c r="K39" s="1">
        <f t="shared" si="11"/>
        <v>-49956774.849048205</v>
      </c>
      <c r="L39" s="1">
        <f t="shared" si="7"/>
        <v>453653.11558429606</v>
      </c>
      <c r="M39" s="14">
        <f t="shared" si="0"/>
        <v>4262.6146735119391</v>
      </c>
      <c r="N39" s="14">
        <f t="shared" si="0"/>
        <v>453.65311558429607</v>
      </c>
      <c r="O39" s="14">
        <f t="shared" si="2"/>
        <v>930.34592552986499</v>
      </c>
      <c r="P39" s="14">
        <f t="shared" si="1"/>
        <v>453.65311558429607</v>
      </c>
      <c r="Q39" s="14">
        <f t="shared" si="6"/>
        <v>4286.6869496288891</v>
      </c>
      <c r="R39" s="7">
        <f t="shared" si="8"/>
        <v>0.99438441005844058</v>
      </c>
    </row>
    <row r="40" spans="1:18" ht="16.5" thickTop="1" thickBot="1">
      <c r="F40" s="16"/>
      <c r="H40" s="33">
        <f>'V_1,1pu_DIG'!H40</f>
        <v>4207256.0413884073</v>
      </c>
      <c r="I40" s="8">
        <f t="shared" si="10"/>
        <v>453653.11558429606</v>
      </c>
      <c r="J40" s="12">
        <f t="shared" si="9"/>
        <v>643.35972700458069</v>
      </c>
      <c r="K40" s="1">
        <f t="shared" si="11"/>
        <v>-49965917.923714943</v>
      </c>
      <c r="L40" s="1">
        <f t="shared" si="7"/>
        <v>453653.11558429606</v>
      </c>
      <c r="M40" s="14">
        <f t="shared" si="0"/>
        <v>4207.2560413884075</v>
      </c>
      <c r="N40" s="14">
        <f t="shared" si="0"/>
        <v>453.65311558429607</v>
      </c>
      <c r="O40" s="14">
        <f t="shared" si="2"/>
        <v>930.00440961655033</v>
      </c>
      <c r="P40" s="14">
        <f t="shared" si="1"/>
        <v>453.65311558429607</v>
      </c>
      <c r="Q40" s="14">
        <f t="shared" si="6"/>
        <v>4231.6432443057611</v>
      </c>
      <c r="R40" s="7">
        <f t="shared" si="8"/>
        <v>0.99423694259903173</v>
      </c>
    </row>
    <row r="41" spans="1:18" ht="16.5" thickTop="1" thickBot="1">
      <c r="F41" s="16"/>
      <c r="H41" s="33">
        <f>'V_1,1pu_DIG'!H41</f>
        <v>4151897.4092648756</v>
      </c>
      <c r="I41" s="8">
        <f t="shared" si="10"/>
        <v>453653.11558429606</v>
      </c>
      <c r="J41" s="12">
        <f t="shared" si="9"/>
        <v>643.1239395932862</v>
      </c>
      <c r="K41" s="1">
        <f t="shared" si="11"/>
        <v>-49974938.286203355</v>
      </c>
      <c r="L41" s="1">
        <f t="shared" si="7"/>
        <v>453653.11558429606</v>
      </c>
      <c r="M41" s="14">
        <f t="shared" si="0"/>
        <v>4151.8974092648759</v>
      </c>
      <c r="N41" s="14">
        <f t="shared" si="0"/>
        <v>453.65311558429607</v>
      </c>
      <c r="O41" s="14">
        <f t="shared" si="2"/>
        <v>929.66723361839922</v>
      </c>
      <c r="P41" s="14">
        <f t="shared" si="1"/>
        <v>453.65311558429607</v>
      </c>
      <c r="Q41" s="14">
        <f t="shared" si="6"/>
        <v>4176.6078636065085</v>
      </c>
      <c r="R41" s="7">
        <f t="shared" si="8"/>
        <v>0.9940836068051897</v>
      </c>
    </row>
    <row r="42" spans="1:18" ht="16.5" thickTop="1" thickBot="1">
      <c r="F42" s="16"/>
      <c r="H42" s="33">
        <f>'V_1,1pu_DIG'!H42</f>
        <v>4096538.7771413438</v>
      </c>
      <c r="I42" s="8">
        <f t="shared" si="10"/>
        <v>453653.11558429606</v>
      </c>
      <c r="J42" s="12">
        <f t="shared" si="9"/>
        <v>642.89119042695529</v>
      </c>
      <c r="K42" s="1">
        <f t="shared" si="11"/>
        <v>-49983836.065906897</v>
      </c>
      <c r="L42" s="1">
        <f t="shared" si="7"/>
        <v>453653.11558429606</v>
      </c>
      <c r="M42" s="14">
        <f t="shared" si="0"/>
        <v>4096.5387771413434</v>
      </c>
      <c r="N42" s="14">
        <f t="shared" si="0"/>
        <v>453.65311558429607</v>
      </c>
      <c r="O42" s="14">
        <f t="shared" si="2"/>
        <v>929.33440231054601</v>
      </c>
      <c r="P42" s="14">
        <f t="shared" si="1"/>
        <v>453.65311558429607</v>
      </c>
      <c r="Q42" s="14">
        <f t="shared" si="6"/>
        <v>4121.5811410066926</v>
      </c>
      <c r="R42" s="7">
        <f t="shared" si="8"/>
        <v>0.99392408810876098</v>
      </c>
    </row>
    <row r="43" spans="1:18" ht="16.5" thickTop="1" thickBot="1">
      <c r="F43" s="16"/>
      <c r="H43" s="33">
        <f>'V_1,1pu_DIG'!H43</f>
        <v>4041180.145017812</v>
      </c>
      <c r="I43" s="8">
        <f t="shared" si="10"/>
        <v>-204633.5897695832</v>
      </c>
      <c r="J43" s="12">
        <f t="shared" si="9"/>
        <v>626.03319474152761</v>
      </c>
      <c r="K43" s="1">
        <f t="shared" si="11"/>
        <v>-49992611.390282452</v>
      </c>
      <c r="L43" s="1">
        <f t="shared" si="7"/>
        <v>-204633.5897695832</v>
      </c>
      <c r="M43" s="14">
        <f t="shared" si="0"/>
        <v>4041.1801450178118</v>
      </c>
      <c r="N43" s="14">
        <f t="shared" si="0"/>
        <v>-204.63358976958318</v>
      </c>
      <c r="O43" s="14">
        <f t="shared" si="2"/>
        <v>905.22746848038446</v>
      </c>
      <c r="P43" s="14">
        <f t="shared" si="1"/>
        <v>-204.63358976958318</v>
      </c>
      <c r="Q43" s="14">
        <f t="shared" si="6"/>
        <v>4046.357852507384</v>
      </c>
      <c r="R43" s="7">
        <f t="shared" si="8"/>
        <v>0.99872040297020104</v>
      </c>
    </row>
    <row r="44" spans="1:18" ht="16.5" thickTop="1" thickBot="1">
      <c r="F44" s="16"/>
      <c r="H44" s="33">
        <f>'V_1,1pu_DIG'!H44</f>
        <v>3985821.5128942803</v>
      </c>
      <c r="I44" s="8">
        <f t="shared" si="10"/>
        <v>-483206.11518679687</v>
      </c>
      <c r="J44" s="12">
        <f t="shared" si="9"/>
        <v>618.76481387093611</v>
      </c>
      <c r="K44" s="1">
        <f t="shared" si="11"/>
        <v>-50001264.384859771</v>
      </c>
      <c r="L44" s="1">
        <f t="shared" si="7"/>
        <v>-483206.11518679687</v>
      </c>
      <c r="M44" s="14">
        <f t="shared" si="0"/>
        <v>3985.8215128942802</v>
      </c>
      <c r="N44" s="14">
        <f t="shared" si="0"/>
        <v>-483.20611518679686</v>
      </c>
      <c r="O44" s="14">
        <f t="shared" si="2"/>
        <v>894.83368383543859</v>
      </c>
      <c r="P44" s="14">
        <f t="shared" si="1"/>
        <v>-483.20611518679686</v>
      </c>
      <c r="Q44" s="14">
        <f t="shared" si="6"/>
        <v>4015.0045183542152</v>
      </c>
      <c r="R44" s="7">
        <f t="shared" si="8"/>
        <v>0.99273151366915591</v>
      </c>
    </row>
    <row r="45" spans="1:18" ht="16.5" thickTop="1" thickBot="1">
      <c r="F45" s="16"/>
      <c r="H45" s="33">
        <f>'V_1,1pu_DIG'!H45</f>
        <v>3930462.8807707485</v>
      </c>
      <c r="I45" s="8">
        <f t="shared" si="10"/>
        <v>-693491.11850972567</v>
      </c>
      <c r="J45" s="12">
        <f t="shared" si="9"/>
        <v>613.22109957937823</v>
      </c>
      <c r="K45" s="1">
        <f t="shared" si="11"/>
        <v>-50009795.173250742</v>
      </c>
      <c r="L45" s="1">
        <f t="shared" ref="L45:L56" si="12">IF(ABS(I45)&lt;ABS(K45),I45,K45)</f>
        <v>-693491.11850972567</v>
      </c>
      <c r="M45" s="14">
        <f t="shared" ref="M45:M56" si="13">H45/1000</f>
        <v>3930.4628807707486</v>
      </c>
      <c r="N45" s="14">
        <f t="shared" ref="N45:N56" si="14">I45/1000</f>
        <v>-693.49111850972565</v>
      </c>
      <c r="O45" s="14">
        <f t="shared" ref="O45:O56" si="15">J45*1.43+10</f>
        <v>886.90617239851088</v>
      </c>
      <c r="P45" s="14">
        <f t="shared" ref="P45:P56" si="16">L45/1000</f>
        <v>-693.49111850972565</v>
      </c>
      <c r="Q45" s="14">
        <f t="shared" ref="Q45:Q56" si="17">SQRT(M45^2+P45^2)</f>
        <v>3991.1738108692489</v>
      </c>
      <c r="R45" s="7">
        <f t="shared" ref="R45:R56" si="18">M45/SQRT(M45^2+P45^2)</f>
        <v>0.98478870302937827</v>
      </c>
    </row>
    <row r="46" spans="1:18" ht="16.5" thickTop="1" thickBot="1">
      <c r="F46" s="16"/>
      <c r="H46" s="33">
        <f>'V_1,1pu_DIG'!H46</f>
        <v>3875104.2486472167</v>
      </c>
      <c r="I46" s="8">
        <f t="shared" si="10"/>
        <v>-868483.56912274938</v>
      </c>
      <c r="J46" s="12">
        <f t="shared" si="9"/>
        <v>608.56930118277523</v>
      </c>
      <c r="K46" s="1">
        <f t="shared" si="11"/>
        <v>-50018203.877158523</v>
      </c>
      <c r="L46" s="1">
        <f t="shared" si="12"/>
        <v>-868483.56912274938</v>
      </c>
      <c r="M46" s="14">
        <f t="shared" si="13"/>
        <v>3875.1042486472165</v>
      </c>
      <c r="N46" s="14">
        <f t="shared" si="14"/>
        <v>-868.48356912274937</v>
      </c>
      <c r="O46" s="14">
        <f t="shared" si="15"/>
        <v>880.25410069136854</v>
      </c>
      <c r="P46" s="14">
        <f t="shared" si="16"/>
        <v>-868.48356912274937</v>
      </c>
      <c r="Q46" s="14">
        <f t="shared" si="17"/>
        <v>3971.2336430534906</v>
      </c>
      <c r="R46" s="7">
        <f t="shared" si="18"/>
        <v>0.97579356868754774</v>
      </c>
    </row>
    <row r="47" spans="1:18" ht="16.5" thickTop="1" thickBot="1">
      <c r="F47" s="16"/>
      <c r="H47" s="33">
        <f>'V_1,1pu_DIG'!H47</f>
        <v>3819745.6165236849</v>
      </c>
      <c r="I47" s="8">
        <f t="shared" si="10"/>
        <v>-1020803.3184889341</v>
      </c>
      <c r="J47" s="12">
        <f t="shared" si="9"/>
        <v>604.49106773439212</v>
      </c>
      <c r="K47" s="1">
        <f t="shared" si="11"/>
        <v>-50026490.616386443</v>
      </c>
      <c r="L47" s="1">
        <f t="shared" si="12"/>
        <v>-1020803.3184889341</v>
      </c>
      <c r="M47" s="14">
        <f t="shared" si="13"/>
        <v>3819.7456165236849</v>
      </c>
      <c r="N47" s="14">
        <f t="shared" si="14"/>
        <v>-1020.8033184889341</v>
      </c>
      <c r="O47" s="14">
        <f t="shared" si="15"/>
        <v>874.42222686018067</v>
      </c>
      <c r="P47" s="14">
        <f t="shared" si="16"/>
        <v>-1020.8033184889341</v>
      </c>
      <c r="Q47" s="14">
        <f t="shared" si="17"/>
        <v>3953.7951375848907</v>
      </c>
      <c r="R47" s="7">
        <f t="shared" si="18"/>
        <v>0.96609598717269718</v>
      </c>
    </row>
    <row r="48" spans="1:18" ht="16.5" thickTop="1" thickBot="1">
      <c r="F48" s="16"/>
      <c r="H48" s="33">
        <f>'V_1,1pu_DIG'!H48</f>
        <v>3764386.9844001532</v>
      </c>
      <c r="I48" s="8">
        <f t="shared" si="10"/>
        <v>-1156896.1641990237</v>
      </c>
      <c r="J48" s="12">
        <f t="shared" si="9"/>
        <v>600.82388093449106</v>
      </c>
      <c r="K48" s="1">
        <f t="shared" si="11"/>
        <v>-50034655.508846849</v>
      </c>
      <c r="L48" s="1">
        <f t="shared" si="12"/>
        <v>-1156896.1641990237</v>
      </c>
      <c r="M48" s="14">
        <f t="shared" si="13"/>
        <v>3764.3869844001533</v>
      </c>
      <c r="N48" s="14">
        <f t="shared" si="14"/>
        <v>-1156.8961641990238</v>
      </c>
      <c r="O48" s="14">
        <f t="shared" si="15"/>
        <v>869.17814973632221</v>
      </c>
      <c r="P48" s="14">
        <f t="shared" si="16"/>
        <v>-1156.8961641990238</v>
      </c>
      <c r="Q48" s="14">
        <f t="shared" si="17"/>
        <v>3938.1490707005614</v>
      </c>
      <c r="R48" s="7">
        <f t="shared" si="18"/>
        <v>0.95587721968343431</v>
      </c>
    </row>
    <row r="49" spans="6:18" ht="16.5" thickTop="1" thickBot="1">
      <c r="F49" s="16"/>
      <c r="H49" s="33">
        <f>'V_1,1pu_DIG'!H49</f>
        <v>3709028.3522766214</v>
      </c>
      <c r="I49" s="8">
        <f t="shared" si="10"/>
        <v>-1280586.4967357602</v>
      </c>
      <c r="J49" s="12">
        <f t="shared" si="9"/>
        <v>597.47137002932629</v>
      </c>
      <c r="K49" s="1">
        <f t="shared" si="11"/>
        <v>-50042698.670569718</v>
      </c>
      <c r="L49" s="1">
        <f t="shared" si="12"/>
        <v>-1280586.4967357602</v>
      </c>
      <c r="M49" s="14">
        <f t="shared" si="13"/>
        <v>3709.0283522766213</v>
      </c>
      <c r="N49" s="14">
        <f t="shared" si="14"/>
        <v>-1280.5864967357602</v>
      </c>
      <c r="O49" s="14">
        <f t="shared" si="15"/>
        <v>864.38405914193652</v>
      </c>
      <c r="P49" s="14">
        <f t="shared" si="16"/>
        <v>-1280.5864967357602</v>
      </c>
      <c r="Q49" s="14">
        <f t="shared" si="17"/>
        <v>3923.8747550876028</v>
      </c>
      <c r="R49" s="7">
        <f t="shared" si="18"/>
        <v>0.94524636584477706</v>
      </c>
    </row>
    <row r="50" spans="6:18" ht="16.5" thickTop="1" thickBot="1">
      <c r="F50" s="16"/>
      <c r="H50" s="33">
        <f>'V_1,1pu_DIG'!H50</f>
        <v>3653669.7201530896</v>
      </c>
      <c r="I50" s="8">
        <f t="shared" si="10"/>
        <v>-1394366.3450730576</v>
      </c>
      <c r="J50" s="12">
        <f t="shared" si="9"/>
        <v>594.37077610399513</v>
      </c>
      <c r="K50" s="1">
        <f t="shared" si="11"/>
        <v>-50050620.215711102</v>
      </c>
      <c r="L50" s="1">
        <f t="shared" si="12"/>
        <v>-1394366.3450730576</v>
      </c>
      <c r="M50" s="14">
        <f t="shared" si="13"/>
        <v>3653.6697201530897</v>
      </c>
      <c r="N50" s="14">
        <f t="shared" si="14"/>
        <v>-1394.3663450730576</v>
      </c>
      <c r="O50" s="14">
        <f t="shared" si="15"/>
        <v>859.95020982871301</v>
      </c>
      <c r="P50" s="14">
        <f t="shared" si="16"/>
        <v>-1394.3663450730576</v>
      </c>
      <c r="Q50" s="14">
        <f t="shared" si="17"/>
        <v>3910.6981382147042</v>
      </c>
      <c r="R50" s="7">
        <f t="shared" si="18"/>
        <v>0.93427556692500124</v>
      </c>
    </row>
    <row r="51" spans="6:18" ht="16.5" thickTop="1" thickBot="1">
      <c r="F51" s="16"/>
      <c r="H51" s="33">
        <f>'V_1,1pu_DIG'!H51</f>
        <v>3598311.0880295578</v>
      </c>
      <c r="I51" s="8">
        <f t="shared" si="10"/>
        <v>-1499968.0515551751</v>
      </c>
      <c r="J51" s="12">
        <f t="shared" si="9"/>
        <v>591.47850017176268</v>
      </c>
      <c r="K51" s="1">
        <f t="shared" si="11"/>
        <v>-50058420.256561503</v>
      </c>
      <c r="L51" s="1">
        <f t="shared" si="12"/>
        <v>-1499968.0515551751</v>
      </c>
      <c r="M51" s="14">
        <f t="shared" si="13"/>
        <v>3598.3110880295581</v>
      </c>
      <c r="N51" s="14">
        <f t="shared" si="14"/>
        <v>-1499.9680515551752</v>
      </c>
      <c r="O51" s="14">
        <f t="shared" si="15"/>
        <v>855.81425524562064</v>
      </c>
      <c r="P51" s="14">
        <f t="shared" si="16"/>
        <v>-1499.9680515551752</v>
      </c>
      <c r="Q51" s="14">
        <f t="shared" si="17"/>
        <v>3898.4287657879154</v>
      </c>
      <c r="R51" s="7">
        <f t="shared" si="18"/>
        <v>0.92301573382790791</v>
      </c>
    </row>
    <row r="52" spans="6:18" ht="16.5" thickTop="1" thickBot="1">
      <c r="F52" s="16"/>
      <c r="H52" s="33">
        <f>'V_1,1pu_DIG'!H52</f>
        <v>3542952.4559060261</v>
      </c>
      <c r="I52" s="8">
        <f t="shared" si="10"/>
        <v>-1598654.4262137911</v>
      </c>
      <c r="J52" s="12">
        <f t="shared" si="9"/>
        <v>588.76278215188017</v>
      </c>
      <c r="K52" s="1">
        <f t="shared" si="11"/>
        <v>-50066098.903554022</v>
      </c>
      <c r="L52" s="1">
        <f t="shared" si="12"/>
        <v>-1598654.4262137911</v>
      </c>
      <c r="M52" s="14">
        <f t="shared" si="13"/>
        <v>3542.952455906026</v>
      </c>
      <c r="N52" s="14">
        <f t="shared" si="14"/>
        <v>-1598.6544262137911</v>
      </c>
      <c r="O52" s="14">
        <f t="shared" si="15"/>
        <v>851.9307784771886</v>
      </c>
      <c r="P52" s="14">
        <f t="shared" si="16"/>
        <v>-1598.6544262137911</v>
      </c>
      <c r="Q52" s="14">
        <f t="shared" si="17"/>
        <v>3886.9278459039456</v>
      </c>
      <c r="R52" s="7">
        <f t="shared" si="18"/>
        <v>0.91150455999320856</v>
      </c>
    </row>
    <row r="53" spans="6:18" ht="16.5" thickTop="1" thickBot="1">
      <c r="F53" s="16"/>
      <c r="H53" s="33">
        <f>'V_1,1pu_DIG'!H53</f>
        <v>3321517.9274118994</v>
      </c>
      <c r="I53" s="8">
        <f t="shared" si="10"/>
        <v>-1940505.8199947956</v>
      </c>
      <c r="J53" s="12">
        <f t="shared" si="9"/>
        <v>579.2570534085238</v>
      </c>
      <c r="K53" s="1">
        <f t="shared" si="11"/>
        <v>-50095601.697043374</v>
      </c>
      <c r="L53" s="1">
        <f t="shared" si="12"/>
        <v>-1940505.8199947956</v>
      </c>
      <c r="M53" s="14">
        <f t="shared" si="13"/>
        <v>3321.5179274118996</v>
      </c>
      <c r="N53" s="14">
        <f t="shared" si="14"/>
        <v>-1940.5058199947955</v>
      </c>
      <c r="O53" s="14">
        <f t="shared" si="15"/>
        <v>838.33758637418896</v>
      </c>
      <c r="P53" s="14">
        <f t="shared" si="16"/>
        <v>-1940.5058199947955</v>
      </c>
      <c r="Q53" s="14">
        <f t="shared" si="17"/>
        <v>3846.822608277163</v>
      </c>
      <c r="R53" s="7">
        <f t="shared" si="18"/>
        <v>0.86344452698833274</v>
      </c>
    </row>
    <row r="54" spans="6:18" ht="16.5" thickTop="1" thickBot="1">
      <c r="F54" s="16"/>
      <c r="H54" s="33">
        <f>'V_1,1pu_DIG'!H54</f>
        <v>3100083.3989177728</v>
      </c>
      <c r="I54" s="8">
        <f t="shared" si="10"/>
        <v>-2221035.8888957161</v>
      </c>
      <c r="J54" s="12">
        <f t="shared" si="9"/>
        <v>571.3383318794281</v>
      </c>
      <c r="K54" s="1">
        <f t="shared" si="11"/>
        <v>-50123170.545856133</v>
      </c>
      <c r="L54" s="1">
        <f t="shared" si="12"/>
        <v>-2221035.8888957161</v>
      </c>
      <c r="M54" s="14">
        <f t="shared" si="13"/>
        <v>3100.0833989177727</v>
      </c>
      <c r="N54" s="14">
        <f t="shared" si="14"/>
        <v>-2221.0358888957162</v>
      </c>
      <c r="O54" s="14">
        <f t="shared" si="15"/>
        <v>827.01381458758215</v>
      </c>
      <c r="P54" s="14">
        <f t="shared" si="16"/>
        <v>-2221.0358888957162</v>
      </c>
      <c r="Q54" s="14">
        <f t="shared" si="17"/>
        <v>3813.5963997266877</v>
      </c>
      <c r="R54" s="7">
        <f t="shared" si="18"/>
        <v>0.81290285441321186</v>
      </c>
    </row>
    <row r="55" spans="6:18" ht="16.5" thickTop="1" thickBot="1">
      <c r="F55" s="16"/>
      <c r="H55" s="33">
        <f>'V_1,1pu_DIG'!H55</f>
        <v>2878648.8704236462</v>
      </c>
      <c r="I55" s="8">
        <f t="shared" si="10"/>
        <v>-2458023.2111629806</v>
      </c>
      <c r="J55" s="12">
        <f t="shared" si="9"/>
        <v>564.56218051422081</v>
      </c>
      <c r="K55" s="1">
        <f t="shared" si="11"/>
        <v>-50148811.642698959</v>
      </c>
      <c r="L55" s="1">
        <f t="shared" si="12"/>
        <v>-2458023.2111629806</v>
      </c>
      <c r="M55" s="14">
        <f t="shared" si="13"/>
        <v>2878.6488704236463</v>
      </c>
      <c r="N55" s="14">
        <f t="shared" si="14"/>
        <v>-2458.0232111629807</v>
      </c>
      <c r="O55" s="14">
        <f t="shared" si="15"/>
        <v>817.3239181353357</v>
      </c>
      <c r="P55" s="14">
        <f t="shared" si="16"/>
        <v>-2458.0232111629807</v>
      </c>
      <c r="Q55" s="14">
        <f t="shared" si="17"/>
        <v>3785.3001764466849</v>
      </c>
      <c r="R55" s="7">
        <f t="shared" si="18"/>
        <v>0.76048100183322187</v>
      </c>
    </row>
    <row r="56" spans="6:18" ht="16.5" thickTop="1" thickBot="1">
      <c r="F56" s="16"/>
      <c r="H56" s="33">
        <f>'V_1,1pu_DIG'!H56</f>
        <v>2657214.3419295195</v>
      </c>
      <c r="I56" s="8">
        <f t="shared" si="10"/>
        <v>-2661421.5692308079</v>
      </c>
      <c r="J56" s="12">
        <f t="shared" si="9"/>
        <v>558.6808989510107</v>
      </c>
      <c r="K56" s="1">
        <f t="shared" si="11"/>
        <v>-50172530.723542802</v>
      </c>
      <c r="L56" s="1">
        <f t="shared" si="12"/>
        <v>-2661421.5692308079</v>
      </c>
      <c r="M56" s="14">
        <f t="shared" si="13"/>
        <v>2657.2143419295194</v>
      </c>
      <c r="N56" s="14">
        <f t="shared" si="14"/>
        <v>-2661.421569230808</v>
      </c>
      <c r="O56" s="14">
        <f t="shared" si="15"/>
        <v>808.91368549994525</v>
      </c>
      <c r="P56" s="14">
        <f t="shared" si="16"/>
        <v>-2661.421569230808</v>
      </c>
      <c r="Q56" s="14">
        <f t="shared" si="17"/>
        <v>3760.8446960919437</v>
      </c>
      <c r="R56" s="7">
        <f t="shared" si="18"/>
        <v>0.70654721389871422</v>
      </c>
    </row>
    <row r="57" spans="6:18" ht="16.5" thickTop="1" thickBot="1">
      <c r="F57" s="16"/>
      <c r="H57" s="33">
        <f>'V_1,1pu_DIG'!H57</f>
        <v>2435779.8134353929</v>
      </c>
      <c r="I57" s="8">
        <f t="shared" si="10"/>
        <v>-2837464.4835592676</v>
      </c>
      <c r="J57" s="12">
        <f t="shared" si="9"/>
        <v>553.54015803523157</v>
      </c>
      <c r="K57" s="1">
        <f t="shared" si="11"/>
        <v>-50194333.074153692</v>
      </c>
      <c r="L57" s="1">
        <f t="shared" ref="L57:L68" si="19">IF(ABS(I57)&lt;ABS(K57),I57,K57)</f>
        <v>-2837464.4835592676</v>
      </c>
      <c r="M57" s="14">
        <f t="shared" ref="M57:M68" si="20">H57/1000</f>
        <v>2435.779813435393</v>
      </c>
      <c r="N57" s="14">
        <f t="shared" ref="N57:N68" si="21">I57/1000</f>
        <v>-2837.4644835592676</v>
      </c>
      <c r="O57" s="14">
        <f t="shared" ref="O57:O68" si="22">J57*1.43+10</f>
        <v>801.56242599038114</v>
      </c>
      <c r="P57" s="14">
        <f t="shared" ref="P57:P68" si="23">L57/1000</f>
        <v>-2837.4644835592676</v>
      </c>
      <c r="Q57" s="14">
        <f t="shared" ref="Q57:Q68" si="24">SQRT(M57^2+P57^2)</f>
        <v>3739.5491700203138</v>
      </c>
      <c r="R57" s="7">
        <f t="shared" ref="R57:R68" si="25">M57/SQRT(M57^2+P57^2)</f>
        <v>0.65135654130793563</v>
      </c>
    </row>
    <row r="58" spans="6:18" ht="16.5" thickTop="1" thickBot="1">
      <c r="F58" s="16"/>
      <c r="H58" s="33">
        <f>'V_1,1pu_DIG'!H58</f>
        <v>2214345.2849412663</v>
      </c>
      <c r="I58" s="8">
        <f t="shared" si="10"/>
        <v>-2990349.3974795709</v>
      </c>
      <c r="J58" s="12">
        <f t="shared" si="9"/>
        <v>549.03661753233644</v>
      </c>
      <c r="K58" s="1">
        <f t="shared" si="11"/>
        <v>-50214223.536073163</v>
      </c>
      <c r="L58" s="1">
        <f t="shared" si="19"/>
        <v>-2990349.3974795709</v>
      </c>
      <c r="M58" s="14">
        <f t="shared" si="20"/>
        <v>2214.3452849412661</v>
      </c>
      <c r="N58" s="14">
        <f t="shared" si="21"/>
        <v>-2990.3493974795711</v>
      </c>
      <c r="O58" s="14">
        <f t="shared" si="22"/>
        <v>795.12236307124112</v>
      </c>
      <c r="P58" s="14">
        <f t="shared" si="23"/>
        <v>-2990.3493974795711</v>
      </c>
      <c r="Q58" s="14">
        <f t="shared" si="24"/>
        <v>3720.9561351819307</v>
      </c>
      <c r="R58" s="7">
        <f t="shared" si="25"/>
        <v>0.59510115263237273</v>
      </c>
    </row>
    <row r="59" spans="6:18" ht="16.5" thickTop="1" thickBot="1">
      <c r="F59" s="16"/>
      <c r="H59" s="33">
        <f>'V_1,1pu_DIG'!H59</f>
        <v>1992910.7564471397</v>
      </c>
      <c r="I59" s="8">
        <f t="shared" si="10"/>
        <v>-3123047.1888540196</v>
      </c>
      <c r="J59" s="12">
        <f t="shared" si="9"/>
        <v>545.09756849792541</v>
      </c>
      <c r="K59" s="1">
        <f t="shared" si="11"/>
        <v>-50232206.512064278</v>
      </c>
      <c r="L59" s="1">
        <f t="shared" si="19"/>
        <v>-3123047.1888540196</v>
      </c>
      <c r="M59" s="14">
        <f t="shared" si="20"/>
        <v>1992.9107564471396</v>
      </c>
      <c r="N59" s="14">
        <f t="shared" si="21"/>
        <v>-3123.0471888540196</v>
      </c>
      <c r="O59" s="14">
        <f t="shared" si="22"/>
        <v>789.48952295203333</v>
      </c>
      <c r="P59" s="14">
        <f t="shared" si="23"/>
        <v>-3123.0471888540196</v>
      </c>
      <c r="Q59" s="14">
        <f t="shared" si="24"/>
        <v>3704.7425048134864</v>
      </c>
      <c r="R59" s="7">
        <f t="shared" si="25"/>
        <v>0.53793502621512745</v>
      </c>
    </row>
    <row r="60" spans="6:18" ht="16.5" thickTop="1" thickBot="1">
      <c r="F60" s="16"/>
      <c r="H60" s="33">
        <f>'V_1,1pu_DIG'!H60</f>
        <v>1771476.227953013</v>
      </c>
      <c r="I60" s="8">
        <f t="shared" si="10"/>
        <v>-3237735.5560038392</v>
      </c>
      <c r="J60" s="12">
        <f t="shared" si="9"/>
        <v>541.67004087214309</v>
      </c>
      <c r="K60" s="1">
        <f t="shared" si="11"/>
        <v>-50248285.971037798</v>
      </c>
      <c r="L60" s="1">
        <f t="shared" si="19"/>
        <v>-3237735.5560038392</v>
      </c>
      <c r="M60" s="14">
        <f t="shared" si="20"/>
        <v>1771.476227953013</v>
      </c>
      <c r="N60" s="14">
        <f t="shared" si="21"/>
        <v>-3237.7355560038391</v>
      </c>
      <c r="O60" s="14">
        <f t="shared" si="22"/>
        <v>784.58815844716457</v>
      </c>
      <c r="P60" s="14">
        <f t="shared" si="23"/>
        <v>-3237.7355560038391</v>
      </c>
      <c r="Q60" s="14">
        <f t="shared" si="24"/>
        <v>3690.6719654846224</v>
      </c>
      <c r="R60" s="7">
        <f t="shared" si="25"/>
        <v>0.47998745066480064</v>
      </c>
    </row>
    <row r="61" spans="6:18" ht="16.5" thickTop="1" thickBot="1">
      <c r="F61" s="16"/>
      <c r="H61" s="33">
        <f>'V_1,1pu_DIG'!H61</f>
        <v>1550041.6994588864</v>
      </c>
      <c r="I61" s="8">
        <f t="shared" si="10"/>
        <v>-3336049.9177509625</v>
      </c>
      <c r="J61" s="12">
        <f t="shared" si="9"/>
        <v>538.71450059007736</v>
      </c>
      <c r="K61" s="1">
        <f t="shared" si="11"/>
        <v>-50262465.452471383</v>
      </c>
      <c r="L61" s="1">
        <f t="shared" si="19"/>
        <v>-3336049.9177509625</v>
      </c>
      <c r="M61" s="14">
        <f t="shared" si="20"/>
        <v>1550.0416994588863</v>
      </c>
      <c r="N61" s="14">
        <f t="shared" si="21"/>
        <v>-3336.0499177509623</v>
      </c>
      <c r="O61" s="14">
        <f t="shared" si="22"/>
        <v>780.36173584381061</v>
      </c>
      <c r="P61" s="14">
        <f t="shared" si="23"/>
        <v>-3336.0499177509623</v>
      </c>
      <c r="Q61" s="14">
        <f t="shared" si="24"/>
        <v>3678.5674281964161</v>
      </c>
      <c r="R61" s="7">
        <f t="shared" si="25"/>
        <v>0.42137101730900289</v>
      </c>
    </row>
    <row r="62" spans="6:18" ht="16.5" thickTop="1" thickBot="1">
      <c r="F62" s="16"/>
      <c r="H62" s="33">
        <f>'V_1,1pu_DIG'!H62</f>
        <v>1328607.1709647598</v>
      </c>
      <c r="I62" s="8">
        <f t="shared" si="10"/>
        <v>-3419237.4504132592</v>
      </c>
      <c r="J62" s="12">
        <f t="shared" si="9"/>
        <v>536.20098139874813</v>
      </c>
      <c r="K62" s="1">
        <f t="shared" si="11"/>
        <v>-50274748.070333593</v>
      </c>
      <c r="L62" s="1">
        <f t="shared" si="19"/>
        <v>-3419237.4504132592</v>
      </c>
      <c r="M62" s="14">
        <f t="shared" si="20"/>
        <v>1328.6071709647597</v>
      </c>
      <c r="N62" s="14">
        <f t="shared" si="21"/>
        <v>-3419.237450413259</v>
      </c>
      <c r="O62" s="14">
        <f t="shared" si="22"/>
        <v>776.76740340020979</v>
      </c>
      <c r="P62" s="14">
        <f t="shared" si="23"/>
        <v>-3419.237450413259</v>
      </c>
      <c r="Q62" s="14">
        <f t="shared" si="24"/>
        <v>3668.2941208479383</v>
      </c>
      <c r="R62" s="7">
        <f t="shared" si="25"/>
        <v>0.36218665330402888</v>
      </c>
    </row>
    <row r="63" spans="6:18" ht="16.5" thickTop="1" thickBot="1">
      <c r="F63" s="16"/>
      <c r="H63" s="33">
        <f>'V_1,1pu_DIG'!H63</f>
        <v>1107172.6424706331</v>
      </c>
      <c r="I63" s="8">
        <f t="shared" si="10"/>
        <v>-3488255.9511873415</v>
      </c>
      <c r="J63" s="12">
        <f t="shared" si="9"/>
        <v>534.10660276495332</v>
      </c>
      <c r="K63" s="1">
        <f t="shared" si="11"/>
        <v>-50285136.516522728</v>
      </c>
      <c r="L63" s="1">
        <f t="shared" si="19"/>
        <v>-3488255.9511873415</v>
      </c>
      <c r="M63" s="14">
        <f t="shared" si="20"/>
        <v>1107.172642470633</v>
      </c>
      <c r="N63" s="14">
        <f t="shared" si="21"/>
        <v>-3488.2559511873415</v>
      </c>
      <c r="O63" s="14">
        <f t="shared" si="22"/>
        <v>773.77244195388323</v>
      </c>
      <c r="P63" s="14">
        <f t="shared" si="23"/>
        <v>-3488.2559511873415</v>
      </c>
      <c r="Q63" s="14">
        <f t="shared" si="24"/>
        <v>3659.7487401772964</v>
      </c>
      <c r="R63" s="7">
        <f t="shared" si="25"/>
        <v>0.30252695501085031</v>
      </c>
    </row>
    <row r="64" spans="6:18" ht="16.5" thickTop="1" thickBot="1">
      <c r="F64" s="16"/>
      <c r="H64" s="33">
        <f>'V_1,1pu_DIG'!H64</f>
        <v>885738.1139765064</v>
      </c>
      <c r="I64" s="8">
        <f t="shared" si="10"/>
        <v>-3543839.3915232774</v>
      </c>
      <c r="J64" s="12">
        <f t="shared" si="9"/>
        <v>532.41392423519551</v>
      </c>
      <c r="K64" s="1">
        <f t="shared" si="11"/>
        <v>-50293633.063829519</v>
      </c>
      <c r="L64" s="1">
        <f t="shared" si="19"/>
        <v>-3543839.3915232774</v>
      </c>
      <c r="M64" s="14">
        <f t="shared" si="20"/>
        <v>885.73811397650638</v>
      </c>
      <c r="N64" s="14">
        <f t="shared" si="21"/>
        <v>-3543.8393915232773</v>
      </c>
      <c r="O64" s="14">
        <f t="shared" si="22"/>
        <v>771.35191165632955</v>
      </c>
      <c r="P64" s="14">
        <f t="shared" si="23"/>
        <v>-3543.8393915232773</v>
      </c>
      <c r="Q64" s="14">
        <f t="shared" si="24"/>
        <v>3652.8522608316271</v>
      </c>
      <c r="R64" s="7">
        <f t="shared" si="25"/>
        <v>0.2424784937168126</v>
      </c>
    </row>
    <row r="65" spans="6:18" ht="16.5" thickTop="1" thickBot="1">
      <c r="F65" s="16"/>
      <c r="H65" s="33">
        <f>'V_1,1pu_DIG'!H65</f>
        <v>664303.58548237965</v>
      </c>
      <c r="I65" s="8">
        <f t="shared" si="10"/>
        <v>-3586542.3125165664</v>
      </c>
      <c r="J65" s="12">
        <f t="shared" si="9"/>
        <v>531.10983092118624</v>
      </c>
      <c r="K65" s="1">
        <f t="shared" si="11"/>
        <v>-50300239.568431273</v>
      </c>
      <c r="L65" s="1">
        <f t="shared" si="19"/>
        <v>-3586542.3125165664</v>
      </c>
      <c r="M65" s="14">
        <f t="shared" si="20"/>
        <v>664.30358548237962</v>
      </c>
      <c r="N65" s="14">
        <f t="shared" si="21"/>
        <v>-3586.5423125165662</v>
      </c>
      <c r="O65" s="14">
        <f t="shared" si="22"/>
        <v>769.48705821729629</v>
      </c>
      <c r="P65" s="14">
        <f t="shared" si="23"/>
        <v>-3586.5423125165662</v>
      </c>
      <c r="Q65" s="14">
        <f t="shared" si="24"/>
        <v>3647.5450666381662</v>
      </c>
      <c r="R65" s="7">
        <f t="shared" si="25"/>
        <v>0.18212347574766183</v>
      </c>
    </row>
    <row r="66" spans="6:18" ht="16.5" thickTop="1" thickBot="1">
      <c r="F66" s="16"/>
      <c r="H66" s="33">
        <f>'V_1,1pu_DIG'!H66</f>
        <v>442869.05698825291</v>
      </c>
      <c r="I66" s="8">
        <f t="shared" si="10"/>
        <v>-3616770.1239934</v>
      </c>
      <c r="J66" s="12">
        <f t="shared" si="9"/>
        <v>530.18477278083708</v>
      </c>
      <c r="K66" s="1">
        <f t="shared" si="11"/>
        <v>-50304957.471923977</v>
      </c>
      <c r="L66" s="1">
        <f t="shared" si="19"/>
        <v>-3616770.1239934</v>
      </c>
      <c r="M66" s="14">
        <f t="shared" si="20"/>
        <v>442.86905698825291</v>
      </c>
      <c r="N66" s="14">
        <f t="shared" si="21"/>
        <v>-3616.7701239933999</v>
      </c>
      <c r="O66" s="14">
        <f t="shared" si="22"/>
        <v>768.16422507659695</v>
      </c>
      <c r="P66" s="14">
        <f t="shared" si="23"/>
        <v>-3616.7701239933999</v>
      </c>
      <c r="Q66" s="14">
        <f t="shared" si="24"/>
        <v>3643.7836285170524</v>
      </c>
      <c r="R66" s="7">
        <f t="shared" si="25"/>
        <v>0.12154098655097471</v>
      </c>
    </row>
    <row r="67" spans="6:18" ht="16.5" thickTop="1" thickBot="1">
      <c r="F67" s="16"/>
      <c r="H67" s="33">
        <f>'V_1,1pu_DIG'!H67</f>
        <v>221434.52849412619</v>
      </c>
      <c r="I67" s="8">
        <f t="shared" si="10"/>
        <v>-3634799.5379904569</v>
      </c>
      <c r="J67" s="12">
        <f t="shared" si="9"/>
        <v>529.63225151259758</v>
      </c>
      <c r="K67" s="1">
        <f t="shared" si="11"/>
        <v>-50307787.802897364</v>
      </c>
      <c r="L67" s="1">
        <f t="shared" si="19"/>
        <v>-3634799.5379904569</v>
      </c>
      <c r="M67" s="14">
        <f t="shared" si="20"/>
        <v>221.4345284941262</v>
      </c>
      <c r="N67" s="14">
        <f t="shared" si="21"/>
        <v>-3634.7995379904569</v>
      </c>
      <c r="O67" s="14">
        <f t="shared" si="22"/>
        <v>767.37411966301454</v>
      </c>
      <c r="P67" s="14">
        <f t="shared" si="23"/>
        <v>-3634.7995379904569</v>
      </c>
      <c r="Q67" s="14">
        <f t="shared" si="24"/>
        <v>3641.5382644955216</v>
      </c>
      <c r="R67" s="7">
        <f t="shared" si="25"/>
        <v>6.0807964220253086E-2</v>
      </c>
    </row>
    <row r="68" spans="6:18" ht="16.5" thickTop="1" thickBot="1">
      <c r="F68" s="16"/>
      <c r="H68" s="33">
        <f>'V_1,1pu_DIG'!H68</f>
        <v>-5.2386894822120667E-10</v>
      </c>
      <c r="I68" s="8">
        <f t="shared" si="10"/>
        <v>-3640791.7003744994</v>
      </c>
      <c r="J68" s="12">
        <f>SQRT(3)*SQRT(($B$3/SQRT(3)*K_1+SQRT(H68^2+I68^2)/SQRT(3)/$B$3/Nm*I68/SQRT(H68^2+I68^2)*K_2)^2+(SQRT(H68^2+I68^2)/SQRT(3)/$B$3/Nm*H68/SQRT(H68^2+I68^2)*K_2)^2)</f>
        <v>529.44849075059517</v>
      </c>
      <c r="K68" s="1">
        <f t="shared" si="11"/>
        <v>-50308731.178057164</v>
      </c>
      <c r="L68" s="1">
        <f t="shared" si="19"/>
        <v>-3640791.7003744994</v>
      </c>
      <c r="M68" s="14">
        <f t="shared" si="20"/>
        <v>-5.2386894822120663E-13</v>
      </c>
      <c r="N68" s="14">
        <f t="shared" si="21"/>
        <v>-3640.7917003744992</v>
      </c>
      <c r="O68" s="14">
        <f t="shared" si="22"/>
        <v>767.11134177335111</v>
      </c>
      <c r="P68" s="14">
        <f t="shared" si="23"/>
        <v>-3640.7917003744992</v>
      </c>
      <c r="Q68" s="14">
        <f t="shared" si="24"/>
        <v>3640.7917003744992</v>
      </c>
      <c r="R68" s="7">
        <f t="shared" si="25"/>
        <v>-1.4388874490329133E-16</v>
      </c>
    </row>
    <row r="69" spans="6:18" ht="15.75" thickTop="1"/>
  </sheetData>
  <hyperlinks>
    <hyperlink ref="A13" r:id="rId1" display="Vdc@Tmin" xr:uid="{00000000-0004-0000-0A00-000000000000}"/>
    <hyperlink ref="A22" r:id="rId2" display="P@PF=1 (W) (kW)" xr:uid="{00000000-0004-0000-0A00-000001000000}"/>
    <hyperlink ref="C22" r:id="rId3" display="P@PF=1 (kW)" xr:uid="{00000000-0004-0000-0A00-000002000000}"/>
    <hyperlink ref="C23" r:id="rId4" display="P@PF=1 (kW)" xr:uid="{00000000-0004-0000-0A00-000003000000}"/>
  </hyperlinks>
  <pageMargins left="0.7" right="0.7" top="0.75" bottom="0.75" header="0.3" footer="0.3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69"/>
  <sheetViews>
    <sheetView workbookViewId="0">
      <selection activeCell="D8" sqref="D8"/>
    </sheetView>
  </sheetViews>
  <sheetFormatPr baseColWidth="10" defaultRowHeight="15"/>
  <cols>
    <col min="1" max="1" width="28.140625" customWidth="1"/>
    <col min="2" max="2" width="14.5703125" bestFit="1" customWidth="1"/>
    <col min="3" max="3" width="17.42578125" bestFit="1" customWidth="1"/>
    <col min="4" max="4" width="10.5703125" bestFit="1" customWidth="1"/>
    <col min="6" max="6" width="21.140625" bestFit="1" customWidth="1"/>
    <col min="8" max="8" width="9.140625" hidden="1" customWidth="1"/>
    <col min="9" max="12" width="11.85546875" hidden="1" customWidth="1"/>
    <col min="13" max="13" width="10.5703125" bestFit="1" customWidth="1"/>
    <col min="14" max="15" width="10.5703125" customWidth="1"/>
    <col min="16" max="16" width="10.7109375" bestFit="1" customWidth="1"/>
    <col min="19" max="19" width="10.85546875" bestFit="1" customWidth="1"/>
  </cols>
  <sheetData>
    <row r="1" spans="1:19" ht="15.75" thickBot="1">
      <c r="A1" s="3" t="s">
        <v>70</v>
      </c>
      <c r="B1">
        <f>Capability!B1</f>
        <v>620</v>
      </c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18</v>
      </c>
      <c r="O1" s="2" t="s">
        <v>19</v>
      </c>
      <c r="P1" s="2" t="s">
        <v>14</v>
      </c>
      <c r="Q1" s="2" t="s">
        <v>13</v>
      </c>
      <c r="R1" s="2" t="s">
        <v>12</v>
      </c>
    </row>
    <row r="2" spans="1:19" ht="16.5" thickTop="1" thickBot="1">
      <c r="A2" s="3" t="s">
        <v>71</v>
      </c>
      <c r="B2" s="28">
        <v>1.04</v>
      </c>
      <c r="F2" t="s">
        <v>20</v>
      </c>
      <c r="G2" s="15">
        <f>Capability!G2</f>
        <v>3750</v>
      </c>
      <c r="H2" s="1">
        <f>G2*1000</f>
        <v>3750000</v>
      </c>
      <c r="I2" s="8">
        <f>Nm*(SQRT(IF(3/K_3^2*Ii^2*B3^2-(H2/Nm)^2&lt;0.0000000001,0,3/K_3^2*Ii^2*B3^2-(H2/Nm)^2))+B3^2/K_3*K_4)</f>
        <v>2306244.3152833665</v>
      </c>
      <c r="J2" s="11">
        <f>SQRT(3)*SQRT((B3/SQRT(3)*K_1+SQRT(H2^2+I2^2)/SQRT(3)/B3/Nm*I2/SQRT(H2^2+I2^2)*K_2)^2+(SQRT(H2^2+I2^2)/SQRT(3)/B3/Nm*H2/SQRT(H2^2+I2^2)*K_2)^2)</f>
        <v>699.15345675839376</v>
      </c>
      <c r="K2" s="1">
        <f>Nm*(SQRT(Vi^2*B3^2/K_2^2-(H2/Nm)^2)-B3^2*K_1/K_2)</f>
        <v>948432.49340484291</v>
      </c>
      <c r="L2" s="1">
        <f>IF(ABS(I2)&lt;ABS(K2),I2,K2)</f>
        <v>948432.49340484291</v>
      </c>
      <c r="M2" s="13">
        <f t="shared" ref="M2:N44" si="0">H2/1000</f>
        <v>3750</v>
      </c>
      <c r="N2" s="13">
        <f>I2/1000</f>
        <v>2306.2443152833666</v>
      </c>
      <c r="O2" s="13">
        <f>J2*1.43+10</f>
        <v>1009.789443164503</v>
      </c>
      <c r="P2" s="13">
        <f t="shared" ref="P2:P44" si="1">L2/1000</f>
        <v>948.43249340484294</v>
      </c>
      <c r="Q2" s="13">
        <f>SQRT(M2^2+P2^2)</f>
        <v>3868.0775838323261</v>
      </c>
      <c r="R2" s="9">
        <f>M2/SQRT(M2^2+P2^2)</f>
        <v>0.96947383260204933</v>
      </c>
      <c r="S2" s="10" t="s">
        <v>15</v>
      </c>
    </row>
    <row r="3" spans="1:19" ht="16.5" thickTop="1" thickBot="1">
      <c r="A3" s="21" t="s">
        <v>67</v>
      </c>
      <c r="B3" s="21">
        <f>$B$1*B2</f>
        <v>644.80000000000007</v>
      </c>
      <c r="F3" t="s">
        <v>21</v>
      </c>
      <c r="G3" s="15">
        <f>Capability!G3</f>
        <v>2846</v>
      </c>
      <c r="H3" s="1">
        <f>G3*1000</f>
        <v>2846000</v>
      </c>
      <c r="I3" s="8">
        <f>Nm*(-SQRT(IF(3/K_3^2*Ii^2*B3^2-(H3/Nm)^2&lt;0.0000000001,0,3/K_3^2*Ii^2*B3^2-(H3/Nm)^2))+B3^2/K_3*K_4)</f>
        <v>-2582664.1080977633</v>
      </c>
      <c r="J3" s="12">
        <f>SQRT(3)*SQRT((B3/SQRT(3)*K_1+SQRT(H3^2+I3^2)/SQRT(3)/B3/Nm*I3/SQRT(H3^2+I3^2)*K_2)^2+(SQRT(H3^2+I3^2)/SQRT(3)/B3/Nm*H3/SQRT(H3^2+I3^2)*K_2)^2)</f>
        <v>574.4826340222611</v>
      </c>
      <c r="K3" s="1">
        <f>Nm*(-SQRT(Vi^2*B3^2/K_2^2-(H3/Nm)^2)-B3^2*K_1/K_2)</f>
        <v>-51628112.809708513</v>
      </c>
      <c r="L3" s="1">
        <f>IF(ABS(I3)&lt;ABS(K3),I3,K3)</f>
        <v>-2582664.1080977633</v>
      </c>
      <c r="M3" s="13">
        <f t="shared" si="0"/>
        <v>2846</v>
      </c>
      <c r="N3" s="13">
        <f t="shared" si="0"/>
        <v>-2582.6641080977633</v>
      </c>
      <c r="O3" s="13">
        <f t="shared" ref="O3:O44" si="2">J3*1.43+10</f>
        <v>831.51016665183329</v>
      </c>
      <c r="P3" s="13">
        <f t="shared" si="1"/>
        <v>-2582.6641080977633</v>
      </c>
      <c r="Q3" s="13">
        <f>SQRT(M3^2+P3^2)</f>
        <v>3843.1588433548272</v>
      </c>
      <c r="R3" s="9">
        <f>M3/SQRT(M3^2+P3^2)</f>
        <v>0.74053665643328637</v>
      </c>
      <c r="S3" s="10" t="s">
        <v>16</v>
      </c>
    </row>
    <row r="4" spans="1:19" ht="16.5" thickTop="1" thickBot="1">
      <c r="A4" s="3" t="s">
        <v>11</v>
      </c>
      <c r="B4" s="6">
        <f>Nm</f>
        <v>3</v>
      </c>
      <c r="F4" s="16"/>
      <c r="H4" s="33">
        <f>'V_1,1pu_DIG'!H4</f>
        <v>0</v>
      </c>
      <c r="I4" s="8">
        <f t="shared" ref="I4:I36" si="3">Nm*(SQRT(IF(3/K_3^2*Ii^2*$B$3^2-(H4/Nm)^2&lt;0.0000000001,0,3/K_3^2*Ii^2*$B$3^2-(H4/Nm)^2))+$B$3^2/K_3*K_4)</f>
        <v>4646345.8963716505</v>
      </c>
      <c r="J4" s="12">
        <f t="shared" ref="J4:J35" si="4">SQRT(3)*SQRT(($B$3/SQRT(3)*K_1+SQRT(H4^2+I4^2)/SQRT(3)/$B$3/Nm*I4/SQRT(H4^2+I4^2)*K_2)^2+(SQRT(H4^2+I4^2)/SQRT(3)/$B$3/Nm*H4/SQRT(H4^2+I4^2)*K_2)^2)</f>
        <v>751.54437710330535</v>
      </c>
      <c r="K4" s="1">
        <f t="shared" ref="K4:K30" si="5">Nm*(SQRT(Vi^2*$B$3^2/K_2^2-(H4/Nm)^2)-$B$3^2*K_1/K_2)</f>
        <v>1215122.1780170538</v>
      </c>
      <c r="L4" s="1">
        <f>IF(ABS(I4)&lt;ABS(K4),I4,K4)</f>
        <v>1215122.1780170538</v>
      </c>
      <c r="M4" s="14">
        <f t="shared" si="0"/>
        <v>0</v>
      </c>
      <c r="N4" s="14">
        <f t="shared" si="0"/>
        <v>4646.3458963716503</v>
      </c>
      <c r="O4" s="14">
        <f t="shared" si="2"/>
        <v>1084.7084592577266</v>
      </c>
      <c r="P4" s="14">
        <f t="shared" si="1"/>
        <v>1215.1221780170538</v>
      </c>
      <c r="Q4" s="14">
        <f t="shared" ref="Q4:Q44" si="6">SQRT(M4^2+P4^2)</f>
        <v>1215.1221780170538</v>
      </c>
      <c r="R4" s="7">
        <f>M4/SQRT(M4^2+P4^2)</f>
        <v>0</v>
      </c>
    </row>
    <row r="5" spans="1:19" ht="16.5" thickTop="1" thickBot="1">
      <c r="A5" s="3" t="s">
        <v>1</v>
      </c>
      <c r="B5" s="6">
        <f>Capability!B5</f>
        <v>50</v>
      </c>
      <c r="C5" s="1" t="s">
        <v>32</v>
      </c>
      <c r="D5" s="1">
        <f>2*PI()*B5</f>
        <v>314.15926535897933</v>
      </c>
      <c r="F5" s="16"/>
      <c r="H5" s="33">
        <f>'V_1,1pu_DIG'!H5</f>
        <v>221434.52849412672</v>
      </c>
      <c r="I5" s="8">
        <f t="shared" si="3"/>
        <v>4640469.1319201887</v>
      </c>
      <c r="J5" s="12">
        <f t="shared" si="4"/>
        <v>751.41738151517529</v>
      </c>
      <c r="K5" s="1">
        <f t="shared" si="5"/>
        <v>1214196.9453269262</v>
      </c>
      <c r="L5" s="1">
        <f t="shared" ref="L5:L44" si="7">IF(ABS(I5)&lt;ABS(K5),I5,K5)</f>
        <v>1214196.9453269262</v>
      </c>
      <c r="M5" s="14">
        <f t="shared" si="0"/>
        <v>221.43452849412671</v>
      </c>
      <c r="N5" s="14">
        <f t="shared" si="0"/>
        <v>4640.4691319201884</v>
      </c>
      <c r="O5" s="14">
        <f t="shared" si="2"/>
        <v>1084.5268555667005</v>
      </c>
      <c r="P5" s="14">
        <f t="shared" si="1"/>
        <v>1214.1969453269262</v>
      </c>
      <c r="Q5" s="14">
        <f t="shared" si="6"/>
        <v>1234.223428902018</v>
      </c>
      <c r="R5" s="7">
        <f t="shared" ref="R5:R44" si="8">M5/SQRT(M5^2+P5^2)</f>
        <v>0.17941202808888329</v>
      </c>
    </row>
    <row r="6" spans="1:19" ht="16.5" thickTop="1" thickBot="1">
      <c r="A6" s="3" t="s">
        <v>0</v>
      </c>
      <c r="B6" s="6">
        <f>Capability!B6</f>
        <v>2700</v>
      </c>
      <c r="F6" s="16"/>
      <c r="H6" s="33">
        <f>'V_1,1pu_DIG'!H6</f>
        <v>442869.05698825343</v>
      </c>
      <c r="I6" s="8">
        <f t="shared" si="3"/>
        <v>4622788.9208647441</v>
      </c>
      <c r="J6" s="12">
        <f t="shared" si="4"/>
        <v>751.03518655586424</v>
      </c>
      <c r="K6" s="1">
        <f t="shared" si="5"/>
        <v>1211421.0533928294</v>
      </c>
      <c r="L6" s="1">
        <f t="shared" si="7"/>
        <v>1211421.0533928294</v>
      </c>
      <c r="M6" s="14">
        <f t="shared" si="0"/>
        <v>442.86905698825342</v>
      </c>
      <c r="N6" s="14">
        <f t="shared" si="0"/>
        <v>4622.7889208647439</v>
      </c>
      <c r="O6" s="14">
        <f t="shared" si="2"/>
        <v>1083.9803167748858</v>
      </c>
      <c r="P6" s="14">
        <f t="shared" si="1"/>
        <v>1211.4210533928294</v>
      </c>
      <c r="Q6" s="14">
        <f t="shared" si="6"/>
        <v>1289.834861616423</v>
      </c>
      <c r="R6" s="7">
        <f t="shared" si="8"/>
        <v>0.34335330061807234</v>
      </c>
    </row>
    <row r="7" spans="1:19" ht="16.5" thickTop="1" thickBot="1">
      <c r="A7" s="3" t="s">
        <v>43</v>
      </c>
      <c r="B7" s="6">
        <f>Capability!B7</f>
        <v>33</v>
      </c>
      <c r="C7" s="1" t="s">
        <v>40</v>
      </c>
      <c r="D7" s="1">
        <f>B7+aux!C6</f>
        <v>44.25</v>
      </c>
      <c r="F7" s="16"/>
      <c r="H7" s="33">
        <f>'V_1,1pu_DIG'!H7</f>
        <v>664303.58548238012</v>
      </c>
      <c r="I7" s="8">
        <f t="shared" si="3"/>
        <v>4593153.3657529205</v>
      </c>
      <c r="J7" s="12">
        <f t="shared" si="4"/>
        <v>750.39411507121156</v>
      </c>
      <c r="K7" s="1">
        <f t="shared" si="5"/>
        <v>1206793.9204204325</v>
      </c>
      <c r="L7" s="1">
        <f t="shared" si="7"/>
        <v>1206793.9204204325</v>
      </c>
      <c r="M7" s="14">
        <f t="shared" si="0"/>
        <v>664.30358548238007</v>
      </c>
      <c r="N7" s="14">
        <f t="shared" si="0"/>
        <v>4593.1533657529208</v>
      </c>
      <c r="O7" s="14">
        <f t="shared" si="2"/>
        <v>1083.0635845518325</v>
      </c>
      <c r="P7" s="14">
        <f t="shared" si="1"/>
        <v>1206.7939204204324</v>
      </c>
      <c r="Q7" s="14">
        <f t="shared" si="6"/>
        <v>1377.5524745172006</v>
      </c>
      <c r="R7" s="7">
        <f t="shared" si="8"/>
        <v>0.48223468635211353</v>
      </c>
    </row>
    <row r="8" spans="1:19" ht="16.5" thickTop="1" thickBot="1">
      <c r="A8" s="3" t="s">
        <v>41</v>
      </c>
      <c r="B8" s="6">
        <f>Capability!B8</f>
        <v>951.5</v>
      </c>
      <c r="C8" s="1" t="s">
        <v>33</v>
      </c>
      <c r="D8" s="1">
        <f>IF(B8&gt;1250,1250,IF(B8&lt;B3*1.43,B3*1.43,B8))</f>
        <v>951.5</v>
      </c>
      <c r="F8" s="16"/>
      <c r="H8" s="33">
        <f>'V_1,1pu_DIG'!H8</f>
        <v>885738.11397650687</v>
      </c>
      <c r="I8" s="8">
        <f t="shared" si="3"/>
        <v>4551301.9376290049</v>
      </c>
      <c r="J8" s="12">
        <f t="shared" si="4"/>
        <v>749.48785785615564</v>
      </c>
      <c r="K8" s="1">
        <f t="shared" si="5"/>
        <v>1200314.5760748312</v>
      </c>
      <c r="L8" s="1">
        <f t="shared" si="7"/>
        <v>1200314.5760748312</v>
      </c>
      <c r="M8" s="14">
        <f t="shared" si="0"/>
        <v>885.73811397650684</v>
      </c>
      <c r="N8" s="14">
        <f t="shared" si="0"/>
        <v>4551.3019376290049</v>
      </c>
      <c r="O8" s="14">
        <f t="shared" si="2"/>
        <v>1081.7676367343024</v>
      </c>
      <c r="P8" s="14">
        <f t="shared" si="1"/>
        <v>1200.3145760748312</v>
      </c>
      <c r="Q8" s="14">
        <f t="shared" si="6"/>
        <v>1491.7396180595194</v>
      </c>
      <c r="R8" s="7">
        <f t="shared" si="8"/>
        <v>0.59376187590210294</v>
      </c>
    </row>
    <row r="9" spans="1:19" ht="16.5" thickTop="1" thickBot="1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H9" s="33">
        <f>'V_1,1pu_DIG'!H9</f>
        <v>1107172.6424706336</v>
      </c>
      <c r="I9" s="8">
        <f t="shared" si="3"/>
        <v>4496853.619654635</v>
      </c>
      <c r="J9" s="12">
        <f t="shared" si="4"/>
        <v>748.30718287646175</v>
      </c>
      <c r="K9" s="1">
        <f t="shared" si="5"/>
        <v>1191981.6604622807</v>
      </c>
      <c r="L9" s="1">
        <f t="shared" si="7"/>
        <v>1191981.6604622807</v>
      </c>
      <c r="M9" s="14">
        <f t="shared" si="0"/>
        <v>1107.1726424706337</v>
      </c>
      <c r="N9" s="14">
        <f t="shared" si="0"/>
        <v>4496.8536196546347</v>
      </c>
      <c r="O9" s="14">
        <f t="shared" si="2"/>
        <v>1080.0792715133402</v>
      </c>
      <c r="P9" s="14">
        <f t="shared" si="1"/>
        <v>1191.9816604622808</v>
      </c>
      <c r="Q9" s="14">
        <f t="shared" si="6"/>
        <v>1626.8532629324077</v>
      </c>
      <c r="R9" s="7">
        <f t="shared" si="8"/>
        <v>0.68056085185885284</v>
      </c>
    </row>
    <row r="10" spans="1:19" ht="16.5" thickTop="1" thickBot="1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1.1492499999999999</v>
      </c>
      <c r="F10" s="16"/>
      <c r="H10" s="33">
        <f>'V_1,1pu_DIG'!H10</f>
        <v>1328607.1709647602</v>
      </c>
      <c r="I10" s="8">
        <f t="shared" si="3"/>
        <v>4429288.5345031377</v>
      </c>
      <c r="J10" s="12">
        <f t="shared" si="4"/>
        <v>746.83948450772812</v>
      </c>
      <c r="K10" s="1">
        <f t="shared" si="5"/>
        <v>1181793.4227010924</v>
      </c>
      <c r="L10" s="1">
        <f t="shared" si="7"/>
        <v>1181793.4227010924</v>
      </c>
      <c r="M10" s="14">
        <f t="shared" si="0"/>
        <v>1328.6071709647601</v>
      </c>
      <c r="N10" s="14">
        <f t="shared" si="0"/>
        <v>4429.2885345031373</v>
      </c>
      <c r="O10" s="14">
        <f t="shared" si="2"/>
        <v>1077.9804628460511</v>
      </c>
      <c r="P10" s="14">
        <f t="shared" si="1"/>
        <v>1181.7934227010924</v>
      </c>
      <c r="Q10" s="14">
        <f t="shared" si="6"/>
        <v>1778.1542983325564</v>
      </c>
      <c r="R10" s="7">
        <f t="shared" si="8"/>
        <v>0.74718328561849001</v>
      </c>
    </row>
    <row r="11" spans="1:19" ht="16.5" thickTop="1" thickBot="1">
      <c r="A11" s="21" t="s">
        <v>49</v>
      </c>
      <c r="B11" s="20">
        <f>B9*B10</f>
        <v>1.2004372301587298</v>
      </c>
      <c r="F11" s="16"/>
      <c r="H11" s="33">
        <f>'V_1,1pu_DIG'!H11</f>
        <v>1550041.6994588869</v>
      </c>
      <c r="I11" s="8">
        <f t="shared" si="3"/>
        <v>4347920.8556821179</v>
      </c>
      <c r="J11" s="12">
        <f t="shared" si="4"/>
        <v>745.06811860730818</v>
      </c>
      <c r="K11" s="1">
        <f t="shared" si="5"/>
        <v>1169747.7190782744</v>
      </c>
      <c r="L11" s="1">
        <f t="shared" si="7"/>
        <v>1169747.7190782744</v>
      </c>
      <c r="M11" s="14">
        <f t="shared" si="0"/>
        <v>1550.0416994588868</v>
      </c>
      <c r="N11" s="14">
        <f t="shared" si="0"/>
        <v>4347.9208556821177</v>
      </c>
      <c r="O11" s="14">
        <f t="shared" si="2"/>
        <v>1075.4474096084507</v>
      </c>
      <c r="P11" s="14">
        <f t="shared" si="1"/>
        <v>1169.7477190782745</v>
      </c>
      <c r="Q11" s="14">
        <f t="shared" si="6"/>
        <v>1941.8905727023393</v>
      </c>
      <c r="R11" s="7">
        <f t="shared" si="8"/>
        <v>0.79821269089423774</v>
      </c>
    </row>
    <row r="12" spans="1:19" ht="16.5" thickTop="1" thickBot="1">
      <c r="A12" s="3" t="s">
        <v>44</v>
      </c>
      <c r="B12" s="6">
        <f>Capability!B12</f>
        <v>-5</v>
      </c>
      <c r="C12" s="1" t="s">
        <v>39</v>
      </c>
      <c r="D12" s="1">
        <f>B12+aux!C6</f>
        <v>6.25</v>
      </c>
      <c r="F12" s="16"/>
      <c r="H12" s="33">
        <f>'V_1,1pu_DIG'!H12</f>
        <v>1771476.2279530135</v>
      </c>
      <c r="I12" s="8">
        <f t="shared" si="3"/>
        <v>4251859.4078853521</v>
      </c>
      <c r="J12" s="12">
        <f t="shared" si="4"/>
        <v>742.97143484033643</v>
      </c>
      <c r="K12" s="1">
        <f t="shared" si="5"/>
        <v>1155842.0107872784</v>
      </c>
      <c r="L12" s="1">
        <f t="shared" si="7"/>
        <v>1155842.0107872784</v>
      </c>
      <c r="M12" s="14">
        <f t="shared" si="0"/>
        <v>1771.4762279530134</v>
      </c>
      <c r="N12" s="14">
        <f t="shared" si="0"/>
        <v>4251.8594078853521</v>
      </c>
      <c r="O12" s="14">
        <f t="shared" si="2"/>
        <v>1072.449151821681</v>
      </c>
      <c r="P12" s="14">
        <f t="shared" si="1"/>
        <v>1155.8420107872785</v>
      </c>
      <c r="Q12" s="14">
        <f t="shared" si="6"/>
        <v>2115.2065573138279</v>
      </c>
      <c r="R12" s="7">
        <f t="shared" si="8"/>
        <v>0.83749562038171377</v>
      </c>
    </row>
    <row r="13" spans="1:19" ht="16.5" thickTop="1" thickBot="1">
      <c r="A13" s="3" t="s">
        <v>42</v>
      </c>
      <c r="B13" s="19">
        <f>Capability!B13</f>
        <v>1130</v>
      </c>
      <c r="C13" s="1" t="s">
        <v>48</v>
      </c>
      <c r="D13" s="1">
        <f>IF(B13&gt;1250,1250,IF(B13&lt;B3*1.43,B3*1.43,B13))</f>
        <v>1130</v>
      </c>
      <c r="F13" s="16"/>
      <c r="H13" s="33">
        <f>'V_1,1pu_DIG'!H13</f>
        <v>1992910.7564471401</v>
      </c>
      <c r="I13" s="8">
        <f t="shared" si="3"/>
        <v>4139950.0295181302</v>
      </c>
      <c r="J13" s="12">
        <f t="shared" si="4"/>
        <v>740.52136016016664</v>
      </c>
      <c r="K13" s="1">
        <f t="shared" si="5"/>
        <v>1140073.3612413146</v>
      </c>
      <c r="L13" s="1">
        <f t="shared" si="7"/>
        <v>1140073.3612413146</v>
      </c>
      <c r="M13" s="14">
        <f t="shared" si="0"/>
        <v>1992.9107564471401</v>
      </c>
      <c r="N13" s="14">
        <f t="shared" si="0"/>
        <v>4139.9500295181306</v>
      </c>
      <c r="O13" s="14">
        <f t="shared" si="2"/>
        <v>1068.9455450290382</v>
      </c>
      <c r="P13" s="14">
        <f t="shared" si="1"/>
        <v>1140.0733612413146</v>
      </c>
      <c r="Q13" s="14">
        <f t="shared" si="6"/>
        <v>2295.9661478721287</v>
      </c>
      <c r="R13" s="7">
        <f t="shared" si="8"/>
        <v>0.86800528757540418</v>
      </c>
    </row>
    <row r="14" spans="1:19" ht="16.5" thickTop="1" thickBot="1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H14" s="33">
        <f>'V_1,1pu_DIG'!H14</f>
        <v>2214345.2849412668</v>
      </c>
      <c r="I14" s="8">
        <f t="shared" si="3"/>
        <v>4010689.6523004733</v>
      </c>
      <c r="J14" s="12">
        <f t="shared" si="4"/>
        <v>737.68128571608645</v>
      </c>
      <c r="K14" s="1">
        <f t="shared" si="5"/>
        <v>1122438.4329556022</v>
      </c>
      <c r="L14" s="1">
        <f t="shared" si="7"/>
        <v>1122438.4329556022</v>
      </c>
      <c r="M14" s="14">
        <f t="shared" si="0"/>
        <v>2214.345284941267</v>
      </c>
      <c r="N14" s="14">
        <f t="shared" si="0"/>
        <v>4010.6896523004734</v>
      </c>
      <c r="O14" s="14">
        <f t="shared" si="2"/>
        <v>1064.8842385740036</v>
      </c>
      <c r="P14" s="14">
        <f t="shared" si="1"/>
        <v>1122.4384329556021</v>
      </c>
      <c r="Q14" s="14">
        <f t="shared" si="6"/>
        <v>2482.5779094959839</v>
      </c>
      <c r="R14" s="7">
        <f t="shared" si="8"/>
        <v>0.89195399526890418</v>
      </c>
    </row>
    <row r="15" spans="1:19" ht="16.5" thickTop="1" thickBot="1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H15" s="33">
        <f>'V_1,1pu_DIG'!H15</f>
        <v>2435779.8134353934</v>
      </c>
      <c r="I15" s="8">
        <f t="shared" si="3"/>
        <v>3862094.3598166946</v>
      </c>
      <c r="J15" s="12">
        <f t="shared" si="4"/>
        <v>734.40281953603949</v>
      </c>
      <c r="K15" s="1">
        <f t="shared" si="5"/>
        <v>1102933.4839906935</v>
      </c>
      <c r="L15" s="1">
        <f t="shared" si="7"/>
        <v>1102933.4839906935</v>
      </c>
      <c r="M15" s="14">
        <f t="shared" si="0"/>
        <v>2435.7798134353934</v>
      </c>
      <c r="N15" s="14">
        <f t="shared" si="0"/>
        <v>3862.0943598166946</v>
      </c>
      <c r="O15" s="14">
        <f t="shared" si="2"/>
        <v>1060.1960319365364</v>
      </c>
      <c r="P15" s="14">
        <f t="shared" si="1"/>
        <v>1102.9334839906935</v>
      </c>
      <c r="Q15" s="14">
        <f t="shared" si="6"/>
        <v>2673.8521966719122</v>
      </c>
      <c r="R15" s="7">
        <f t="shared" si="8"/>
        <v>0.91096277365935086</v>
      </c>
    </row>
    <row r="16" spans="1:19" ht="16.5" thickTop="1" thickBot="1">
      <c r="A16" s="21" t="s">
        <v>50</v>
      </c>
      <c r="B16" s="20">
        <f>B14*B15</f>
        <v>1.1831619047619049</v>
      </c>
      <c r="F16" s="16"/>
      <c r="H16" s="33">
        <f>'V_1,1pu_DIG'!H16</f>
        <v>2657214.34192952</v>
      </c>
      <c r="I16" s="8">
        <f t="shared" si="3"/>
        <v>3691488.3760672286</v>
      </c>
      <c r="J16" s="12">
        <f t="shared" si="4"/>
        <v>730.62058918379944</v>
      </c>
      <c r="K16" s="1">
        <f t="shared" si="5"/>
        <v>1081554.3639480751</v>
      </c>
      <c r="L16" s="1">
        <f t="shared" si="7"/>
        <v>1081554.3639480751</v>
      </c>
      <c r="M16" s="14">
        <f t="shared" si="0"/>
        <v>2657.2143419295198</v>
      </c>
      <c r="N16" s="14">
        <f t="shared" si="0"/>
        <v>3691.4883760672287</v>
      </c>
      <c r="O16" s="14">
        <f t="shared" si="2"/>
        <v>1054.7874425328332</v>
      </c>
      <c r="P16" s="14">
        <f t="shared" si="1"/>
        <v>1081.5543639480752</v>
      </c>
      <c r="Q16" s="14">
        <f t="shared" si="6"/>
        <v>2868.8931491310473</v>
      </c>
      <c r="R16" s="7">
        <f t="shared" si="8"/>
        <v>0.92621586228624708</v>
      </c>
    </row>
    <row r="17" spans="1:18" ht="16.5" thickTop="1" thickBot="1">
      <c r="A17" s="21"/>
      <c r="B17" s="20"/>
      <c r="F17" s="16"/>
      <c r="H17" s="33">
        <f>'V_1,1pu_DIG'!H17</f>
        <v>2878648.8704236466</v>
      </c>
      <c r="I17" s="8">
        <f t="shared" si="3"/>
        <v>3495148.0623347098</v>
      </c>
      <c r="J17" s="12">
        <f t="shared" si="4"/>
        <v>726.2434663670814</v>
      </c>
      <c r="K17" s="1">
        <f t="shared" si="5"/>
        <v>1058296.5095078833</v>
      </c>
      <c r="L17" s="1">
        <f t="shared" si="7"/>
        <v>1058296.5095078833</v>
      </c>
      <c r="M17" s="14">
        <f t="shared" si="0"/>
        <v>2878.6488704236467</v>
      </c>
      <c r="N17" s="14">
        <f t="shared" si="0"/>
        <v>3495.1480623347097</v>
      </c>
      <c r="O17" s="14">
        <f t="shared" si="2"/>
        <v>1048.5281569049264</v>
      </c>
      <c r="P17" s="14">
        <f t="shared" si="1"/>
        <v>1058.2965095078832</v>
      </c>
      <c r="Q17" s="14">
        <f t="shared" si="6"/>
        <v>3067.0198599337282</v>
      </c>
      <c r="R17" s="7">
        <f t="shared" si="8"/>
        <v>0.93858175097889596</v>
      </c>
    </row>
    <row r="18" spans="1:18" ht="20.25" thickTop="1" thickBot="1">
      <c r="A18" s="23" t="s">
        <v>53</v>
      </c>
      <c r="B18" s="24">
        <f>MIN(B16,B11)</f>
        <v>1.1831619047619049</v>
      </c>
      <c r="F18" s="16"/>
      <c r="H18" s="33">
        <f>'V_1,1pu_DIG'!H18</f>
        <v>3100083.3989177733</v>
      </c>
      <c r="I18" s="8">
        <f t="shared" si="3"/>
        <v>3267657.4034443991</v>
      </c>
      <c r="J18" s="12">
        <f t="shared" si="4"/>
        <v>721.13866742811922</v>
      </c>
      <c r="K18" s="1">
        <f t="shared" si="5"/>
        <v>1033154.9394974671</v>
      </c>
      <c r="L18" s="1">
        <f t="shared" si="7"/>
        <v>1033154.9394974671</v>
      </c>
      <c r="M18" s="14">
        <f t="shared" si="0"/>
        <v>3100.0833989177731</v>
      </c>
      <c r="N18" s="14">
        <f t="shared" si="0"/>
        <v>3267.6574034443993</v>
      </c>
      <c r="O18" s="14">
        <f t="shared" si="2"/>
        <v>1041.2282944222104</v>
      </c>
      <c r="P18" s="14">
        <f t="shared" si="1"/>
        <v>1033.1549394974672</v>
      </c>
      <c r="Q18" s="14">
        <f t="shared" si="6"/>
        <v>3267.7096274383971</v>
      </c>
      <c r="R18" s="7">
        <f t="shared" si="8"/>
        <v>0.94870222644230828</v>
      </c>
    </row>
    <row r="19" spans="1:18" ht="16.5" thickTop="1" thickBot="1">
      <c r="A19" s="21"/>
      <c r="B19" s="20"/>
      <c r="F19" s="16"/>
      <c r="H19" s="33">
        <f>'V_1,1pu_DIG'!H19</f>
        <v>3321517.9274118999</v>
      </c>
      <c r="I19" s="8">
        <f t="shared" si="3"/>
        <v>3000624.1614259207</v>
      </c>
      <c r="J19" s="12">
        <f t="shared" si="4"/>
        <v>715.10005750361302</v>
      </c>
      <c r="K19" s="1">
        <f t="shared" si="5"/>
        <v>1006124.2494781483</v>
      </c>
      <c r="L19" s="1">
        <f t="shared" si="7"/>
        <v>1006124.2494781483</v>
      </c>
      <c r="M19" s="14">
        <f t="shared" si="0"/>
        <v>3321.5179274119</v>
      </c>
      <c r="N19" s="14">
        <f t="shared" si="0"/>
        <v>3000.6241614259206</v>
      </c>
      <c r="O19" s="14">
        <f t="shared" si="2"/>
        <v>1032.5930822301666</v>
      </c>
      <c r="P19" s="14">
        <f t="shared" si="1"/>
        <v>1006.1242494781483</v>
      </c>
      <c r="Q19" s="14">
        <f t="shared" si="6"/>
        <v>3470.5572099457763</v>
      </c>
      <c r="R19" s="7">
        <f t="shared" si="8"/>
        <v>0.95705609401661329</v>
      </c>
    </row>
    <row r="20" spans="1:18" ht="16.5" thickTop="1" thickBot="1">
      <c r="A20" s="21" t="s">
        <v>36</v>
      </c>
      <c r="B20" s="4">
        <f>(D8-10)/1.43</f>
        <v>658.39160839160843</v>
      </c>
      <c r="F20" s="16"/>
      <c r="H20" s="33">
        <f>'V_1,1pu_DIG'!H20</f>
        <v>3542952.4559060265</v>
      </c>
      <c r="I20" s="8">
        <f t="shared" si="3"/>
        <v>2679748.7703389511</v>
      </c>
      <c r="J20" s="12">
        <f t="shared" si="4"/>
        <v>707.77573090342162</v>
      </c>
      <c r="K20" s="1">
        <f t="shared" si="5"/>
        <v>977198.60583636537</v>
      </c>
      <c r="L20" s="1">
        <f t="shared" si="7"/>
        <v>977198.60583636537</v>
      </c>
      <c r="M20" s="14">
        <f t="shared" si="0"/>
        <v>3542.9524559060264</v>
      </c>
      <c r="N20" s="14">
        <f t="shared" si="0"/>
        <v>2679.7487703389511</v>
      </c>
      <c r="O20" s="14">
        <f t="shared" si="2"/>
        <v>1022.1192951918929</v>
      </c>
      <c r="P20" s="14">
        <f t="shared" si="1"/>
        <v>977.19860583636535</v>
      </c>
      <c r="Q20" s="14">
        <f t="shared" si="6"/>
        <v>3675.2454639192579</v>
      </c>
      <c r="R20" s="7">
        <f t="shared" si="8"/>
        <v>0.96400430683828253</v>
      </c>
    </row>
    <row r="21" spans="1:18" ht="16.5" thickTop="1" thickBot="1">
      <c r="A21" s="21" t="s">
        <v>34</v>
      </c>
      <c r="B21" s="5">
        <f>IF(B25=1,(IF(B9*B10&gt;B18,B18,B9*B10))*Ii_r,B26)</f>
        <v>1242.3200000000002</v>
      </c>
      <c r="F21" s="16"/>
      <c r="H21" s="33">
        <f>'V_1,1pu_DIG'!H21</f>
        <v>3598311.0880295583</v>
      </c>
      <c r="I21" s="8">
        <f t="shared" si="3"/>
        <v>2588339.7448562132</v>
      </c>
      <c r="J21" s="12">
        <f t="shared" si="4"/>
        <v>705.67530875309353</v>
      </c>
      <c r="K21" s="1">
        <f t="shared" si="5"/>
        <v>969670.38341771252</v>
      </c>
      <c r="L21" s="1">
        <f t="shared" si="7"/>
        <v>969670.38341771252</v>
      </c>
      <c r="M21" s="14">
        <f t="shared" si="0"/>
        <v>3598.3110880295585</v>
      </c>
      <c r="N21" s="14">
        <f t="shared" si="0"/>
        <v>2588.3397448562132</v>
      </c>
      <c r="O21" s="14">
        <f t="shared" si="2"/>
        <v>1019.1156915169237</v>
      </c>
      <c r="P21" s="14">
        <f t="shared" si="1"/>
        <v>969.67038341771251</v>
      </c>
      <c r="Q21" s="14">
        <f t="shared" si="6"/>
        <v>3726.674568393908</v>
      </c>
      <c r="R21" s="7">
        <f t="shared" si="8"/>
        <v>0.96555548975137084</v>
      </c>
    </row>
    <row r="22" spans="1:18" ht="20.25" thickTop="1" thickBot="1">
      <c r="A22" s="21" t="s">
        <v>59</v>
      </c>
      <c r="B22" s="1">
        <f>Nm*SQRT(3)*B3*Ii/K_3^2</f>
        <v>4187125.6297071241</v>
      </c>
      <c r="C22" s="25" t="s">
        <v>74</v>
      </c>
      <c r="D22" s="26">
        <f>B22/1000</f>
        <v>4187.1256297071241</v>
      </c>
      <c r="F22" s="16"/>
      <c r="H22" s="33">
        <f>'V_1,1pu_DIG'!H22</f>
        <v>3653669.7201530901</v>
      </c>
      <c r="I22" s="8">
        <f t="shared" si="3"/>
        <v>2491284.1201257384</v>
      </c>
      <c r="J22" s="12">
        <f t="shared" si="4"/>
        <v>703.43827267191762</v>
      </c>
      <c r="K22" s="1">
        <f t="shared" si="5"/>
        <v>962023.23448113911</v>
      </c>
      <c r="L22" s="1">
        <f t="shared" si="7"/>
        <v>962023.23448113911</v>
      </c>
      <c r="M22" s="14">
        <f t="shared" si="0"/>
        <v>3653.6697201530901</v>
      </c>
      <c r="N22" s="14">
        <f t="shared" si="0"/>
        <v>2491.2841201257384</v>
      </c>
      <c r="O22" s="14">
        <f t="shared" si="2"/>
        <v>1015.9167299208422</v>
      </c>
      <c r="P22" s="14">
        <f t="shared" si="1"/>
        <v>962.02323448113907</v>
      </c>
      <c r="Q22" s="14">
        <f t="shared" si="6"/>
        <v>3778.199455778521</v>
      </c>
      <c r="R22" s="7">
        <f t="shared" si="8"/>
        <v>0.96703992547694362</v>
      </c>
    </row>
    <row r="23" spans="1:18" ht="20.25" thickTop="1" thickBot="1">
      <c r="A23" s="21" t="s">
        <v>51</v>
      </c>
      <c r="B23" s="1">
        <f>B3*Ii*SQRT(3)*Nm</f>
        <v>4162367.1733505479</v>
      </c>
      <c r="C23" s="25" t="s">
        <v>52</v>
      </c>
      <c r="D23" s="26">
        <f>B23/1000</f>
        <v>4162.367173350548</v>
      </c>
      <c r="F23" s="16"/>
      <c r="H23" s="33">
        <f>'V_1,1pu_DIG'!H23</f>
        <v>3709028.3522766219</v>
      </c>
      <c r="I23" s="8">
        <f t="shared" si="3"/>
        <v>2387724.0445828903</v>
      </c>
      <c r="J23" s="12">
        <f t="shared" si="4"/>
        <v>701.04344344899698</v>
      </c>
      <c r="K23" s="1">
        <f t="shared" si="5"/>
        <v>954257.05503969826</v>
      </c>
      <c r="L23" s="1">
        <f t="shared" si="7"/>
        <v>954257.05503969826</v>
      </c>
      <c r="M23" s="14">
        <f t="shared" si="0"/>
        <v>3709.0283522766217</v>
      </c>
      <c r="N23" s="14">
        <f t="shared" si="0"/>
        <v>2387.7240445828902</v>
      </c>
      <c r="O23" s="14">
        <f t="shared" si="2"/>
        <v>1012.4921241320657</v>
      </c>
      <c r="P23" s="14">
        <f t="shared" si="1"/>
        <v>954.25705503969823</v>
      </c>
      <c r="Q23" s="14">
        <f t="shared" si="6"/>
        <v>3829.8169466809859</v>
      </c>
      <c r="R23" s="7">
        <f t="shared" si="8"/>
        <v>0.96846100059454732</v>
      </c>
    </row>
    <row r="24" spans="1:18" ht="16.5" thickTop="1" thickBot="1">
      <c r="A24" s="27"/>
      <c r="F24" s="16"/>
      <c r="H24" s="33">
        <f>'V_1,1pu_DIG'!H24</f>
        <v>3764386.9844001536</v>
      </c>
      <c r="I24" s="8">
        <f t="shared" si="3"/>
        <v>2276540.2579922271</v>
      </c>
      <c r="J24" s="12">
        <f t="shared" si="4"/>
        <v>698.46317564050298</v>
      </c>
      <c r="K24" s="1">
        <f t="shared" si="5"/>
        <v>946371.7393637225</v>
      </c>
      <c r="L24" s="1">
        <f t="shared" si="7"/>
        <v>946371.7393637225</v>
      </c>
      <c r="M24" s="14">
        <f t="shared" si="0"/>
        <v>3764.3869844001538</v>
      </c>
      <c r="N24" s="14">
        <f t="shared" si="0"/>
        <v>2276.540257992227</v>
      </c>
      <c r="O24" s="14">
        <f t="shared" si="2"/>
        <v>1008.8023411659192</v>
      </c>
      <c r="P24" s="14">
        <f t="shared" si="1"/>
        <v>946.37173936372255</v>
      </c>
      <c r="Q24" s="14">
        <f t="shared" si="6"/>
        <v>3881.5240353999616</v>
      </c>
      <c r="R24" s="7">
        <f t="shared" si="8"/>
        <v>0.96982189214043146</v>
      </c>
    </row>
    <row r="25" spans="1:18" ht="16.5" thickTop="1" thickBot="1">
      <c r="A25" s="3" t="s">
        <v>38</v>
      </c>
      <c r="B25" s="6">
        <f>Capability!B25</f>
        <v>1</v>
      </c>
      <c r="F25" s="16"/>
      <c r="H25" s="33">
        <f>'V_1,1pu_DIG'!H25</f>
        <v>3819745.6165236854</v>
      </c>
      <c r="I25" s="8">
        <f t="shared" si="3"/>
        <v>2156223.9441799028</v>
      </c>
      <c r="J25" s="12">
        <f t="shared" si="4"/>
        <v>695.66018534992509</v>
      </c>
      <c r="K25" s="1">
        <f t="shared" si="5"/>
        <v>938367.17997347005</v>
      </c>
      <c r="L25" s="1">
        <f t="shared" si="7"/>
        <v>938367.17997347005</v>
      </c>
      <c r="M25" s="14">
        <f t="shared" si="0"/>
        <v>3819.7456165236854</v>
      </c>
      <c r="N25" s="14">
        <f t="shared" si="0"/>
        <v>2156.2239441799029</v>
      </c>
      <c r="O25" s="14">
        <f t="shared" si="2"/>
        <v>1004.7940650503929</v>
      </c>
      <c r="P25" s="14">
        <f t="shared" si="1"/>
        <v>938.36717997347</v>
      </c>
      <c r="Q25" s="14">
        <f t="shared" si="6"/>
        <v>3933.3178792723165</v>
      </c>
      <c r="R25" s="7">
        <f t="shared" si="8"/>
        <v>0.97112558246381997</v>
      </c>
    </row>
    <row r="26" spans="1:18" ht="16.5" thickTop="1" thickBot="1">
      <c r="A26" s="3" t="s">
        <v>25</v>
      </c>
      <c r="B26" s="6">
        <f>Capability!B26</f>
        <v>1250</v>
      </c>
      <c r="F26" s="16"/>
      <c r="H26" s="33">
        <f>'V_1,1pu_DIG'!H26</f>
        <v>3875104.2486472172</v>
      </c>
      <c r="I26" s="8">
        <f t="shared" si="3"/>
        <v>2024654.0150493323</v>
      </c>
      <c r="J26" s="12">
        <f t="shared" si="4"/>
        <v>692.58203610936948</v>
      </c>
      <c r="K26" s="1">
        <f t="shared" si="5"/>
        <v>930243.26763158105</v>
      </c>
      <c r="L26" s="1">
        <f t="shared" si="7"/>
        <v>930243.26763158105</v>
      </c>
      <c r="M26" s="14">
        <f t="shared" si="0"/>
        <v>3875.104248647217</v>
      </c>
      <c r="N26" s="14">
        <f t="shared" si="0"/>
        <v>2024.6540150493322</v>
      </c>
      <c r="O26" s="14">
        <f t="shared" si="2"/>
        <v>1000.3923116363983</v>
      </c>
      <c r="P26" s="14">
        <f t="shared" si="1"/>
        <v>930.24326763158103</v>
      </c>
      <c r="Q26" s="14">
        <f t="shared" si="6"/>
        <v>3985.1957887734438</v>
      </c>
      <c r="R26" s="7">
        <f t="shared" si="8"/>
        <v>0.97237487291430902</v>
      </c>
    </row>
    <row r="27" spans="1:18" ht="16.5" thickTop="1" thickBot="1">
      <c r="A27" s="27"/>
      <c r="F27" s="16"/>
      <c r="H27" s="33">
        <f>'V_1,1pu_DIG'!H27</f>
        <v>3930462.8807707489</v>
      </c>
      <c r="I27" s="8">
        <f t="shared" si="3"/>
        <v>1878677.1277455031</v>
      </c>
      <c r="J27" s="12">
        <f t="shared" si="4"/>
        <v>689.1507390364319</v>
      </c>
      <c r="K27" s="1">
        <f t="shared" si="5"/>
        <v>921999.89133541659</v>
      </c>
      <c r="L27" s="1">
        <f t="shared" si="7"/>
        <v>921999.89133541659</v>
      </c>
      <c r="M27" s="14">
        <f t="shared" si="0"/>
        <v>3930.4628807707491</v>
      </c>
      <c r="N27" s="14">
        <f t="shared" si="0"/>
        <v>1878.6771277455032</v>
      </c>
      <c r="O27" s="14">
        <f t="shared" si="2"/>
        <v>995.48555682209758</v>
      </c>
      <c r="P27" s="14">
        <f t="shared" si="1"/>
        <v>921.99989133541658</v>
      </c>
      <c r="Q27" s="14">
        <f t="shared" si="6"/>
        <v>4037.1552183114309</v>
      </c>
      <c r="R27" s="7">
        <f t="shared" si="8"/>
        <v>0.9735723964595776</v>
      </c>
    </row>
    <row r="28" spans="1:18" ht="16.5" thickTop="1" thickBot="1">
      <c r="A28" s="27" t="s">
        <v>73</v>
      </c>
      <c r="F28" s="16"/>
      <c r="H28" s="33">
        <f>'V_1,1pu_DIG'!H28</f>
        <v>3985821.5128942807</v>
      </c>
      <c r="I28" s="8">
        <f t="shared" si="3"/>
        <v>1713222.1090039148</v>
      </c>
      <c r="J28" s="12">
        <f t="shared" si="4"/>
        <v>685.24082016525165</v>
      </c>
      <c r="K28" s="1">
        <f t="shared" si="5"/>
        <v>913636.93830930255</v>
      </c>
      <c r="L28" s="1">
        <f t="shared" si="7"/>
        <v>913636.93830930255</v>
      </c>
      <c r="M28" s="14">
        <f t="shared" si="0"/>
        <v>3985.8215128942807</v>
      </c>
      <c r="N28" s="14">
        <f t="shared" si="0"/>
        <v>1713.2221090039147</v>
      </c>
      <c r="O28" s="14">
        <f t="shared" si="2"/>
        <v>989.8943728363098</v>
      </c>
      <c r="P28" s="14">
        <f t="shared" si="1"/>
        <v>913.63693830930254</v>
      </c>
      <c r="Q28" s="14">
        <f t="shared" si="6"/>
        <v>4089.1937576610439</v>
      </c>
      <c r="R28" s="7">
        <f t="shared" si="8"/>
        <v>0.97472062932378856</v>
      </c>
    </row>
    <row r="29" spans="1:18" ht="16.5" thickTop="1" thickBot="1">
      <c r="A29" s="3" t="s">
        <v>54</v>
      </c>
      <c r="B29" s="6">
        <f>Capability!B29</f>
        <v>2846</v>
      </c>
      <c r="C29" s="2">
        <f>IF(B29&gt;D23,D23,B29)</f>
        <v>2846</v>
      </c>
      <c r="F29" s="16"/>
      <c r="H29" s="33">
        <f>'V_1,1pu_DIG'!H29</f>
        <v>4041180.1450178125</v>
      </c>
      <c r="I29" s="8">
        <f t="shared" si="3"/>
        <v>1519099.260162211</v>
      </c>
      <c r="J29" s="12">
        <f t="shared" si="4"/>
        <v>680.62480783468629</v>
      </c>
      <c r="K29" s="1">
        <f t="shared" si="5"/>
        <v>905154.29399653338</v>
      </c>
      <c r="L29" s="1">
        <f t="shared" si="7"/>
        <v>905154.29399653338</v>
      </c>
      <c r="M29" s="14">
        <f t="shared" si="0"/>
        <v>4041.1801450178127</v>
      </c>
      <c r="N29" s="14">
        <f t="shared" si="0"/>
        <v>1519.0992601622111</v>
      </c>
      <c r="O29" s="14">
        <f t="shared" si="2"/>
        <v>983.29347520360136</v>
      </c>
      <c r="P29" s="14">
        <f t="shared" si="1"/>
        <v>905.1542939965334</v>
      </c>
      <c r="Q29" s="14">
        <f t="shared" si="6"/>
        <v>4141.3091239880359</v>
      </c>
      <c r="R29" s="7">
        <f t="shared" si="8"/>
        <v>0.97582190172903582</v>
      </c>
    </row>
    <row r="30" spans="1:18" ht="16.5" thickTop="1" thickBot="1">
      <c r="A30" s="27"/>
      <c r="B30" s="1" t="s">
        <v>69</v>
      </c>
      <c r="C30" s="1">
        <f xml:space="preserve"> Nm/1000*(-SQRT(3/K_3^2*Ii^2*B3^2-($C$29*1000/Nm)^2)+B3^2*K_4/K_3)</f>
        <v>-2582.6641080977633</v>
      </c>
      <c r="F30" s="16"/>
      <c r="H30" s="33">
        <f>'V_1,1pu_DIG'!H30</f>
        <v>4096538.7771413443</v>
      </c>
      <c r="I30" s="8">
        <f t="shared" si="3"/>
        <v>1275809.566643565</v>
      </c>
      <c r="J30" s="12">
        <f t="shared" si="4"/>
        <v>674.79508191416255</v>
      </c>
      <c r="K30" s="1">
        <f t="shared" si="5"/>
        <v>896551.84205134213</v>
      </c>
      <c r="L30" s="1">
        <f t="shared" si="7"/>
        <v>896551.84205134213</v>
      </c>
      <c r="M30" s="14">
        <f t="shared" si="0"/>
        <v>4096.5387771413443</v>
      </c>
      <c r="N30" s="14">
        <f t="shared" si="0"/>
        <v>1275.8095666435649</v>
      </c>
      <c r="O30" s="14">
        <f t="shared" si="2"/>
        <v>974.95696713725238</v>
      </c>
      <c r="P30" s="14">
        <f t="shared" si="1"/>
        <v>896.55184205134208</v>
      </c>
      <c r="Q30" s="14">
        <f t="shared" si="6"/>
        <v>4193.4991544184613</v>
      </c>
      <c r="R30" s="7">
        <f t="shared" si="8"/>
        <v>0.97687840781487811</v>
      </c>
    </row>
    <row r="31" spans="1:18" ht="16.5" thickTop="1" thickBot="1">
      <c r="A31" s="27"/>
      <c r="B31" s="1" t="s">
        <v>68</v>
      </c>
      <c r="C31" s="1">
        <f>IF(ABS( Nm/1000*(SQRT(3/K_3^2*Ii^2*B3^2-($C$29*1000/Nm)^2)+B3^2*K_4/K_3))&lt;ABS(Nm/1000*(SQRT(Vi^2*B3^2/K_2^2-($C$29*1000/Nm)^2)-B3^2*K_1/K_2)),Nm/1000*(SQRT(3/K_3^2*Ii^2*B3^2-($C$29*1000/Nm)^2)+B3^2*K_4/K_3), Nm/1000*(SQRT(Vi^2*B3^2/K_2^2-($C$29*1000/Nm)^2)-B3^2*K_1/K_2))</f>
        <v>1061.8439769023528</v>
      </c>
      <c r="F31" s="16"/>
      <c r="H31" s="33">
        <f>'V_1,1pu_DIG'!H31</f>
        <v>4151897.409264876</v>
      </c>
      <c r="I31" s="8">
        <f t="shared" si="3"/>
        <v>907624.92977915797</v>
      </c>
      <c r="J31" s="12">
        <f t="shared" si="4"/>
        <v>665.87555447976808</v>
      </c>
      <c r="K31" s="1">
        <f t="shared" ref="K31:K68" si="9">Nm*(-SQRT(Vi^2*$B$3^2/K_2^2-(H31/Nm)^2)-$B$3^2*K_1/K_2)</f>
        <v>-51454098.297136813</v>
      </c>
      <c r="L31" s="1">
        <f t="shared" si="7"/>
        <v>907624.92977915797</v>
      </c>
      <c r="M31" s="14">
        <f t="shared" si="0"/>
        <v>4151.8974092648759</v>
      </c>
      <c r="N31" s="14">
        <f t="shared" si="0"/>
        <v>907.62492977915792</v>
      </c>
      <c r="O31" s="14">
        <f t="shared" si="2"/>
        <v>962.2020429060683</v>
      </c>
      <c r="P31" s="14">
        <f t="shared" si="1"/>
        <v>907.62492977915792</v>
      </c>
      <c r="Q31" s="14">
        <f t="shared" si="6"/>
        <v>4249.9453067324303</v>
      </c>
      <c r="R31" s="7">
        <f t="shared" si="8"/>
        <v>0.97692960958527286</v>
      </c>
    </row>
    <row r="32" spans="1:18" ht="16.5" thickTop="1" thickBot="1">
      <c r="A32" s="3" t="s">
        <v>55</v>
      </c>
      <c r="B32" s="6">
        <f>Capability!B32</f>
        <v>0</v>
      </c>
      <c r="C32" s="2">
        <f>IF(B32&lt;C30,C30,IF(B32&gt;C31,C31,B32))</f>
        <v>0</v>
      </c>
      <c r="F32" s="16"/>
      <c r="H32" s="33">
        <f>'V_1,1pu_DIG'!H32</f>
        <v>4207256.0413884073</v>
      </c>
      <c r="I32" s="8">
        <f t="shared" si="3"/>
        <v>471617.84872738825</v>
      </c>
      <c r="J32" s="12">
        <f t="shared" si="4"/>
        <v>655.287141656568</v>
      </c>
      <c r="K32" s="1">
        <f t="shared" si="9"/>
        <v>-51445255.873691887</v>
      </c>
      <c r="L32" s="1">
        <f t="shared" si="7"/>
        <v>471617.84872738825</v>
      </c>
      <c r="M32" s="14">
        <f t="shared" si="0"/>
        <v>4207.2560413884075</v>
      </c>
      <c r="N32" s="14">
        <f t="shared" si="0"/>
        <v>471.61784872738826</v>
      </c>
      <c r="O32" s="14">
        <f t="shared" si="2"/>
        <v>947.06061256889222</v>
      </c>
      <c r="P32" s="14">
        <f t="shared" si="1"/>
        <v>471.61784872738826</v>
      </c>
      <c r="Q32" s="14">
        <f t="shared" si="6"/>
        <v>4233.6068302379599</v>
      </c>
      <c r="R32" s="7">
        <f t="shared" si="8"/>
        <v>0.99377580632633489</v>
      </c>
    </row>
    <row r="33" spans="1:18" ht="16.5" thickTop="1" thickBot="1">
      <c r="A33" s="21" t="s">
        <v>56</v>
      </c>
      <c r="B33" s="1">
        <f>C29/SQRT(C29^2+C32^2)</f>
        <v>1</v>
      </c>
      <c r="C33" s="1" t="s">
        <v>60</v>
      </c>
      <c r="D33" s="1">
        <f>SQRT(C29^2+C32^2)/(SQRT(3)*B3)*1000</f>
        <v>2548.2922861564434</v>
      </c>
      <c r="F33" s="16"/>
      <c r="H33" s="33">
        <f>'V_1,1pu_DIG'!H33</f>
        <v>4262614.6735119391</v>
      </c>
      <c r="I33" s="8">
        <f t="shared" si="3"/>
        <v>471617.84872738825</v>
      </c>
      <c r="J33" s="12">
        <f t="shared" si="4"/>
        <v>655.51268845308107</v>
      </c>
      <c r="K33" s="1">
        <f t="shared" si="9"/>
        <v>-51436293.282759756</v>
      </c>
      <c r="L33" s="1">
        <f t="shared" si="7"/>
        <v>471617.84872738825</v>
      </c>
      <c r="M33" s="14">
        <f t="shared" si="0"/>
        <v>4262.6146735119391</v>
      </c>
      <c r="N33" s="14">
        <f t="shared" si="0"/>
        <v>471.61784872738826</v>
      </c>
      <c r="O33" s="14">
        <f t="shared" si="2"/>
        <v>947.38314448790584</v>
      </c>
      <c r="P33" s="14">
        <f t="shared" si="1"/>
        <v>471.61784872738826</v>
      </c>
      <c r="Q33" s="14">
        <f t="shared" si="6"/>
        <v>4288.6253333763661</v>
      </c>
      <c r="R33" s="7">
        <f t="shared" si="8"/>
        <v>0.99393496567256689</v>
      </c>
    </row>
    <row r="34" spans="1:18" ht="20.25" thickTop="1" thickBot="1">
      <c r="A34" s="23" t="s">
        <v>57</v>
      </c>
      <c r="B34" s="25">
        <f>Vdc_offset+Vac_to_Vdc*SQRT(3)*SQRT(K_1^2*B3^2/3+K_2^2/3*($C$29^2+$C$32^2)*1000^2/B3^2/Nm^2+2/3*K_1*K_2*$C$32*1000/Nm)</f>
        <v>923.60101467656773</v>
      </c>
      <c r="F34" s="16"/>
      <c r="H34" s="33">
        <f>'V_1,1pu_DIG'!H34</f>
        <v>4317973.3056354709</v>
      </c>
      <c r="I34" s="8">
        <f t="shared" si="3"/>
        <v>471617.84872738825</v>
      </c>
      <c r="J34" s="12">
        <f t="shared" si="4"/>
        <v>655.74110446754491</v>
      </c>
      <c r="K34" s="1">
        <f t="shared" si="9"/>
        <v>-51427210.400754668</v>
      </c>
      <c r="L34" s="1">
        <f t="shared" si="7"/>
        <v>471617.84872738825</v>
      </c>
      <c r="M34" s="14">
        <f t="shared" si="0"/>
        <v>4317.9733056354708</v>
      </c>
      <c r="N34" s="14">
        <f t="shared" si="0"/>
        <v>471.61784872738826</v>
      </c>
      <c r="O34" s="14">
        <f t="shared" si="2"/>
        <v>947.70977938858914</v>
      </c>
      <c r="P34" s="14">
        <f t="shared" si="1"/>
        <v>471.61784872738826</v>
      </c>
      <c r="Q34" s="14">
        <f t="shared" si="6"/>
        <v>4343.6524795865935</v>
      </c>
      <c r="R34" s="7">
        <f t="shared" si="8"/>
        <v>0.99408811499727379</v>
      </c>
    </row>
    <row r="35" spans="1:18" ht="16.5" thickTop="1" thickBot="1">
      <c r="A35" s="21" t="s">
        <v>58</v>
      </c>
      <c r="B35" s="1">
        <f>SQRT(3)*SQRT(K_1^2*B3^2/3+K_2^2/3*($C$29^2+$C$32^2)*1000^2/B3^2/Nm^2+2/3*K_1*K_2*$C$32*1000/Nm)</f>
        <v>638.88182844515222</v>
      </c>
      <c r="F35" s="16"/>
      <c r="H35" s="33">
        <f>'V_1,1pu_DIG'!H35</f>
        <v>4373331.9377590027</v>
      </c>
      <c r="I35" s="8">
        <f t="shared" si="3"/>
        <v>471617.84872738825</v>
      </c>
      <c r="J35" s="12">
        <f t="shared" si="4"/>
        <v>655.97238670269007</v>
      </c>
      <c r="K35" s="1">
        <f t="shared" si="9"/>
        <v>-51418007.102259189</v>
      </c>
      <c r="L35" s="1">
        <f t="shared" si="7"/>
        <v>471617.84872738825</v>
      </c>
      <c r="M35" s="14">
        <f t="shared" si="0"/>
        <v>4373.3319377590024</v>
      </c>
      <c r="N35" s="14">
        <f t="shared" si="0"/>
        <v>471.61784872738826</v>
      </c>
      <c r="O35" s="14">
        <f t="shared" si="2"/>
        <v>948.04051298484671</v>
      </c>
      <c r="P35" s="14">
        <f t="shared" si="1"/>
        <v>471.61784872738826</v>
      </c>
      <c r="Q35" s="14">
        <f t="shared" si="6"/>
        <v>4398.6879444967635</v>
      </c>
      <c r="R35" s="7">
        <f t="shared" si="8"/>
        <v>0.99423555226974347</v>
      </c>
    </row>
    <row r="36" spans="1:18" ht="16.5" thickTop="1" thickBot="1">
      <c r="F36" s="16"/>
      <c r="H36" s="33">
        <f>'V_1,1pu_DIG'!H36</f>
        <v>4428690.5698825344</v>
      </c>
      <c r="I36" s="8">
        <f t="shared" si="3"/>
        <v>471617.84872738825</v>
      </c>
      <c r="J36" s="12">
        <f t="shared" ref="J36:J67" si="10">SQRT(3)*SQRT(($B$3/SQRT(3)*K_1+SQRT(H36^2+I36^2)/SQRT(3)/$B$3/Nm*I36/SQRT(H36^2+I36^2)*K_2)^2+(SQRT(H36^2+I36^2)/SQRT(3)/$B$3/Nm*H36/SQRT(H36^2+I36^2)*K_2)^2)</f>
        <v>656.20653212788875</v>
      </c>
      <c r="K36" s="1">
        <f t="shared" si="9"/>
        <v>-51408683.260015219</v>
      </c>
      <c r="L36" s="1">
        <f t="shared" si="7"/>
        <v>471617.84872738825</v>
      </c>
      <c r="M36" s="14">
        <f t="shared" si="0"/>
        <v>4428.6905698825349</v>
      </c>
      <c r="N36" s="14">
        <f t="shared" si="0"/>
        <v>471.61784872738826</v>
      </c>
      <c r="O36" s="14">
        <f t="shared" si="2"/>
        <v>948.37534094288083</v>
      </c>
      <c r="P36" s="14">
        <f t="shared" si="1"/>
        <v>471.61784872738826</v>
      </c>
      <c r="Q36" s="14">
        <f t="shared" si="6"/>
        <v>4453.7314197204059</v>
      </c>
      <c r="R36" s="7">
        <f t="shared" si="8"/>
        <v>0.99437755727096744</v>
      </c>
    </row>
    <row r="37" spans="1:18" ht="16.5" thickTop="1" thickBot="1">
      <c r="F37" s="16"/>
      <c r="H37" s="33">
        <f>'V_1,1pu_DIG'!H37</f>
        <v>4373331.9377590027</v>
      </c>
      <c r="I37" s="8">
        <f t="shared" ref="I37:I68" si="11">Nm*(-SQRT(IF(3/K_3^2*Ii^2*$B$3^2-(H37/Nm)^2&lt;0.0000000001,0,3/K_3^2*Ii^2*$B$3^2-(H37/Nm)^2))+$B$3^2/K_3*K_4)</f>
        <v>471617.84872738825</v>
      </c>
      <c r="J37" s="12">
        <f t="shared" si="10"/>
        <v>655.97238670269007</v>
      </c>
      <c r="K37" s="1">
        <f t="shared" si="9"/>
        <v>-51418007.102259189</v>
      </c>
      <c r="L37" s="1">
        <f t="shared" si="7"/>
        <v>471617.84872738825</v>
      </c>
      <c r="M37" s="14">
        <f t="shared" si="0"/>
        <v>4373.3319377590024</v>
      </c>
      <c r="N37" s="14">
        <f t="shared" si="0"/>
        <v>471.61784872738826</v>
      </c>
      <c r="O37" s="14">
        <f t="shared" si="2"/>
        <v>948.04051298484671</v>
      </c>
      <c r="P37" s="14">
        <f t="shared" si="1"/>
        <v>471.61784872738826</v>
      </c>
      <c r="Q37" s="14">
        <f t="shared" si="6"/>
        <v>4398.6879444967635</v>
      </c>
      <c r="R37" s="7">
        <f t="shared" si="8"/>
        <v>0.99423555226974347</v>
      </c>
    </row>
    <row r="38" spans="1:18" ht="16.5" thickTop="1" thickBot="1">
      <c r="F38" s="16"/>
      <c r="H38" s="33">
        <f>'V_1,1pu_DIG'!H38</f>
        <v>4317973.3056354709</v>
      </c>
      <c r="I38" s="8">
        <f t="shared" si="11"/>
        <v>471617.84872738825</v>
      </c>
      <c r="J38" s="12">
        <f t="shared" si="10"/>
        <v>655.74110446754491</v>
      </c>
      <c r="K38" s="1">
        <f t="shared" si="9"/>
        <v>-51427210.400754668</v>
      </c>
      <c r="L38" s="1">
        <f t="shared" si="7"/>
        <v>471617.84872738825</v>
      </c>
      <c r="M38" s="14">
        <f t="shared" si="0"/>
        <v>4317.9733056354708</v>
      </c>
      <c r="N38" s="14">
        <f t="shared" si="0"/>
        <v>471.61784872738826</v>
      </c>
      <c r="O38" s="14">
        <f t="shared" si="2"/>
        <v>947.70977938858914</v>
      </c>
      <c r="P38" s="14">
        <f t="shared" si="1"/>
        <v>471.61784872738826</v>
      </c>
      <c r="Q38" s="14">
        <f t="shared" si="6"/>
        <v>4343.6524795865935</v>
      </c>
      <c r="R38" s="7">
        <f t="shared" si="8"/>
        <v>0.99408811499727379</v>
      </c>
    </row>
    <row r="39" spans="1:18" ht="16.5" thickTop="1" thickBot="1">
      <c r="F39" s="16"/>
      <c r="H39" s="33">
        <f>'V_1,1pu_DIG'!H39</f>
        <v>4262614.6735119391</v>
      </c>
      <c r="I39" s="8">
        <f t="shared" si="11"/>
        <v>471617.84872738825</v>
      </c>
      <c r="J39" s="12">
        <f t="shared" si="10"/>
        <v>655.51268845308107</v>
      </c>
      <c r="K39" s="1">
        <f t="shared" si="9"/>
        <v>-51436293.282759756</v>
      </c>
      <c r="L39" s="1">
        <f t="shared" si="7"/>
        <v>471617.84872738825</v>
      </c>
      <c r="M39" s="14">
        <f t="shared" si="0"/>
        <v>4262.6146735119391</v>
      </c>
      <c r="N39" s="14">
        <f t="shared" si="0"/>
        <v>471.61784872738826</v>
      </c>
      <c r="O39" s="14">
        <f t="shared" si="2"/>
        <v>947.38314448790584</v>
      </c>
      <c r="P39" s="14">
        <f t="shared" si="1"/>
        <v>471.61784872738826</v>
      </c>
      <c r="Q39" s="14">
        <f t="shared" si="6"/>
        <v>4288.6253333763661</v>
      </c>
      <c r="R39" s="7">
        <f t="shared" si="8"/>
        <v>0.99393496567256689</v>
      </c>
    </row>
    <row r="40" spans="1:18" ht="16.5" thickTop="1" thickBot="1">
      <c r="F40" s="16"/>
      <c r="H40" s="33">
        <f>'V_1,1pu_DIG'!H40</f>
        <v>4207256.0413884073</v>
      </c>
      <c r="I40" s="8">
        <f t="shared" si="11"/>
        <v>471617.84872738825</v>
      </c>
      <c r="J40" s="12">
        <f t="shared" si="10"/>
        <v>655.287141656568</v>
      </c>
      <c r="K40" s="1">
        <f t="shared" si="9"/>
        <v>-51445255.873691887</v>
      </c>
      <c r="L40" s="1">
        <f t="shared" si="7"/>
        <v>471617.84872738825</v>
      </c>
      <c r="M40" s="14">
        <f t="shared" si="0"/>
        <v>4207.2560413884075</v>
      </c>
      <c r="N40" s="14">
        <f t="shared" si="0"/>
        <v>471.61784872738826</v>
      </c>
      <c r="O40" s="14">
        <f t="shared" si="2"/>
        <v>947.06061256889222</v>
      </c>
      <c r="P40" s="14">
        <f t="shared" si="1"/>
        <v>471.61784872738826</v>
      </c>
      <c r="Q40" s="14">
        <f t="shared" si="6"/>
        <v>4233.6068302379599</v>
      </c>
      <c r="R40" s="7">
        <f t="shared" si="8"/>
        <v>0.99377580632633489</v>
      </c>
    </row>
    <row r="41" spans="1:18" ht="16.5" thickTop="1" thickBot="1">
      <c r="F41" s="16"/>
      <c r="H41" s="33">
        <f>'V_1,1pu_DIG'!H41</f>
        <v>4151897.4092648756</v>
      </c>
      <c r="I41" s="8">
        <f t="shared" si="11"/>
        <v>35610.767675611074</v>
      </c>
      <c r="J41" s="12">
        <f t="shared" si="10"/>
        <v>644.25801586055775</v>
      </c>
      <c r="K41" s="1">
        <f t="shared" si="9"/>
        <v>-51454098.297136813</v>
      </c>
      <c r="L41" s="1">
        <f t="shared" si="7"/>
        <v>35610.767675611074</v>
      </c>
      <c r="M41" s="14">
        <f t="shared" si="0"/>
        <v>4151.8974092648759</v>
      </c>
      <c r="N41" s="14">
        <f t="shared" si="0"/>
        <v>35.610767675611072</v>
      </c>
      <c r="O41" s="14">
        <f t="shared" si="2"/>
        <v>931.28896268059759</v>
      </c>
      <c r="P41" s="14">
        <f t="shared" si="1"/>
        <v>35.610767675611072</v>
      </c>
      <c r="Q41" s="14">
        <f t="shared" si="6"/>
        <v>4152.0501229916326</v>
      </c>
      <c r="R41" s="7">
        <f t="shared" si="8"/>
        <v>0.99996321968130608</v>
      </c>
    </row>
    <row r="42" spans="1:18" ht="16.5" thickTop="1" thickBot="1">
      <c r="F42" s="16"/>
      <c r="H42" s="33">
        <f>'V_1,1pu_DIG'!H42</f>
        <v>4096538.7771413438</v>
      </c>
      <c r="I42" s="8">
        <f t="shared" si="11"/>
        <v>-332573.86918879242</v>
      </c>
      <c r="J42" s="12">
        <f t="shared" si="10"/>
        <v>634.90963331704131</v>
      </c>
      <c r="K42" s="1">
        <f t="shared" si="9"/>
        <v>-51462820.674857512</v>
      </c>
      <c r="L42" s="1">
        <f t="shared" si="7"/>
        <v>-332573.86918879242</v>
      </c>
      <c r="M42" s="14">
        <f t="shared" si="0"/>
        <v>4096.5387771413434</v>
      </c>
      <c r="N42" s="14">
        <f t="shared" si="0"/>
        <v>-332.5738691887924</v>
      </c>
      <c r="O42" s="14">
        <f t="shared" si="2"/>
        <v>917.92077564336898</v>
      </c>
      <c r="P42" s="14">
        <f t="shared" si="1"/>
        <v>-332.5738691887924</v>
      </c>
      <c r="Q42" s="14">
        <f t="shared" si="6"/>
        <v>4110.0164636032659</v>
      </c>
      <c r="R42" s="7">
        <f t="shared" si="8"/>
        <v>0.99672077068759313</v>
      </c>
    </row>
    <row r="43" spans="1:18" ht="16.5" thickTop="1" thickBot="1">
      <c r="F43" s="16"/>
      <c r="H43" s="33">
        <f>'V_1,1pu_DIG'!H43</f>
        <v>4041180.145017812</v>
      </c>
      <c r="I43" s="8">
        <f t="shared" si="11"/>
        <v>-575863.56270743464</v>
      </c>
      <c r="J43" s="12">
        <f t="shared" si="10"/>
        <v>628.65611904626996</v>
      </c>
      <c r="K43" s="1">
        <f t="shared" si="9"/>
        <v>-51471423.126802705</v>
      </c>
      <c r="L43" s="1">
        <f t="shared" si="7"/>
        <v>-575863.56270743464</v>
      </c>
      <c r="M43" s="14">
        <f t="shared" si="0"/>
        <v>4041.1801450178118</v>
      </c>
      <c r="N43" s="14">
        <f t="shared" si="0"/>
        <v>-575.86356270743465</v>
      </c>
      <c r="O43" s="14">
        <f t="shared" si="2"/>
        <v>908.97825023616599</v>
      </c>
      <c r="P43" s="14">
        <f t="shared" si="1"/>
        <v>-575.86356270743465</v>
      </c>
      <c r="Q43" s="14">
        <f t="shared" si="6"/>
        <v>4082.0038960466809</v>
      </c>
      <c r="R43" s="7">
        <f t="shared" si="8"/>
        <v>0.98999909062595315</v>
      </c>
    </row>
    <row r="44" spans="1:18" ht="16.5" thickTop="1" thickBot="1">
      <c r="F44" s="16"/>
      <c r="H44" s="33">
        <f>'V_1,1pu_DIG'!H44</f>
        <v>3985821.5128942803</v>
      </c>
      <c r="I44" s="8">
        <f t="shared" si="11"/>
        <v>-769986.41154914105</v>
      </c>
      <c r="J44" s="12">
        <f t="shared" si="10"/>
        <v>623.62141033929765</v>
      </c>
      <c r="K44" s="1">
        <f t="shared" si="9"/>
        <v>-51479905.771115474</v>
      </c>
      <c r="L44" s="1">
        <f t="shared" si="7"/>
        <v>-769986.41154914105</v>
      </c>
      <c r="M44" s="14">
        <f t="shared" si="0"/>
        <v>3985.8215128942802</v>
      </c>
      <c r="N44" s="14">
        <f t="shared" si="0"/>
        <v>-769.98641154914105</v>
      </c>
      <c r="O44" s="14">
        <f t="shared" si="2"/>
        <v>901.7786167851956</v>
      </c>
      <c r="P44" s="14">
        <f t="shared" si="1"/>
        <v>-769.98641154914105</v>
      </c>
      <c r="Q44" s="14">
        <f t="shared" si="6"/>
        <v>4059.5137894360173</v>
      </c>
      <c r="R44" s="7">
        <f t="shared" si="8"/>
        <v>0.98184701903624394</v>
      </c>
    </row>
    <row r="45" spans="1:18" ht="16.5" thickTop="1" thickBot="1">
      <c r="F45" s="16"/>
      <c r="H45" s="33">
        <f>'V_1,1pu_DIG'!H45</f>
        <v>3930462.8807707485</v>
      </c>
      <c r="I45" s="8">
        <f t="shared" si="11"/>
        <v>-935441.43029072892</v>
      </c>
      <c r="J45" s="12">
        <f t="shared" si="10"/>
        <v>619.2979121068156</v>
      </c>
      <c r="K45" s="1">
        <f t="shared" si="9"/>
        <v>-51488268.724141583</v>
      </c>
      <c r="L45" s="1">
        <f t="shared" ref="L45:L56" si="12">IF(ABS(I45)&lt;ABS(K45),I45,K45)</f>
        <v>-935441.43029072892</v>
      </c>
      <c r="M45" s="14">
        <f t="shared" ref="M45:M56" si="13">H45/1000</f>
        <v>3930.4628807707486</v>
      </c>
      <c r="N45" s="14">
        <f t="shared" ref="N45:N56" si="14">I45/1000</f>
        <v>-935.44143029072893</v>
      </c>
      <c r="O45" s="14">
        <f t="shared" ref="O45:O56" si="15">J45*1.43+10</f>
        <v>895.59601431274632</v>
      </c>
      <c r="P45" s="14">
        <f t="shared" ref="P45:P56" si="16">L45/1000</f>
        <v>-935.44143029072893</v>
      </c>
      <c r="Q45" s="14">
        <f t="shared" ref="Q45:Q56" si="17">SQRT(M45^2+P45^2)</f>
        <v>4040.2461715372069</v>
      </c>
      <c r="R45" s="7">
        <f t="shared" ref="R45:R56" si="18">M45/SQRT(M45^2+P45^2)</f>
        <v>0.97282757383947016</v>
      </c>
    </row>
    <row r="46" spans="1:18" ht="16.5" thickTop="1" thickBot="1">
      <c r="F46" s="16"/>
      <c r="H46" s="33">
        <f>'V_1,1pu_DIG'!H46</f>
        <v>3875104.2486472167</v>
      </c>
      <c r="I46" s="8">
        <f t="shared" si="11"/>
        <v>-1081418.3175945557</v>
      </c>
      <c r="J46" s="12">
        <f t="shared" si="10"/>
        <v>615.45817754980033</v>
      </c>
      <c r="K46" s="1">
        <f t="shared" si="9"/>
        <v>-51496512.100437753</v>
      </c>
      <c r="L46" s="1">
        <f t="shared" si="12"/>
        <v>-1081418.3175945557</v>
      </c>
      <c r="M46" s="14">
        <f t="shared" si="13"/>
        <v>3875.1042486472165</v>
      </c>
      <c r="N46" s="14">
        <f t="shared" si="14"/>
        <v>-1081.4183175945557</v>
      </c>
      <c r="O46" s="14">
        <f t="shared" si="15"/>
        <v>890.10519389621447</v>
      </c>
      <c r="P46" s="14">
        <f t="shared" si="16"/>
        <v>-1081.4183175945557</v>
      </c>
      <c r="Q46" s="14">
        <f t="shared" si="17"/>
        <v>4023.170207126806</v>
      </c>
      <c r="R46" s="7">
        <f t="shared" si="18"/>
        <v>0.96319669542757613</v>
      </c>
    </row>
    <row r="47" spans="1:18" ht="16.5" thickTop="1" thickBot="1">
      <c r="F47" s="16"/>
      <c r="H47" s="33">
        <f>'V_1,1pu_DIG'!H47</f>
        <v>3819745.6165236849</v>
      </c>
      <c r="I47" s="8">
        <f t="shared" si="11"/>
        <v>-1212988.2467251269</v>
      </c>
      <c r="J47" s="12">
        <f t="shared" si="10"/>
        <v>611.97675737991017</v>
      </c>
      <c r="K47" s="1">
        <f t="shared" si="9"/>
        <v>-51504636.012779631</v>
      </c>
      <c r="L47" s="1">
        <f t="shared" si="12"/>
        <v>-1212988.2467251269</v>
      </c>
      <c r="M47" s="14">
        <f t="shared" si="13"/>
        <v>3819.7456165236849</v>
      </c>
      <c r="N47" s="14">
        <f t="shared" si="14"/>
        <v>-1212.9882467251268</v>
      </c>
      <c r="O47" s="14">
        <f t="shared" si="15"/>
        <v>885.12676305327147</v>
      </c>
      <c r="P47" s="14">
        <f t="shared" si="16"/>
        <v>-1212.9882467251268</v>
      </c>
      <c r="Q47" s="14">
        <f t="shared" si="17"/>
        <v>4007.717188331183</v>
      </c>
      <c r="R47" s="7">
        <f t="shared" si="18"/>
        <v>0.95309759571987918</v>
      </c>
    </row>
    <row r="48" spans="1:18" ht="16.5" thickTop="1" thickBot="1">
      <c r="F48" s="16"/>
      <c r="H48" s="33">
        <f>'V_1,1pu_DIG'!H48</f>
        <v>3764386.9844001532</v>
      </c>
      <c r="I48" s="8">
        <f t="shared" si="11"/>
        <v>-1333304.5605374514</v>
      </c>
      <c r="J48" s="12">
        <f t="shared" si="10"/>
        <v>608.7756872021954</v>
      </c>
      <c r="K48" s="1">
        <f t="shared" si="9"/>
        <v>-51512640.572169885</v>
      </c>
      <c r="L48" s="1">
        <f t="shared" si="12"/>
        <v>-1333304.5605374514</v>
      </c>
      <c r="M48" s="14">
        <f t="shared" si="13"/>
        <v>3764.3869844001533</v>
      </c>
      <c r="N48" s="14">
        <f t="shared" si="14"/>
        <v>-1333.3045605374514</v>
      </c>
      <c r="O48" s="14">
        <f t="shared" si="15"/>
        <v>880.54923269913934</v>
      </c>
      <c r="P48" s="14">
        <f t="shared" si="16"/>
        <v>-1333.3045605374514</v>
      </c>
      <c r="Q48" s="14">
        <f t="shared" si="17"/>
        <v>3993.533575603346</v>
      </c>
      <c r="R48" s="7">
        <f t="shared" si="18"/>
        <v>0.94262059229874562</v>
      </c>
    </row>
    <row r="49" spans="6:18" ht="16.5" thickTop="1" thickBot="1">
      <c r="F49" s="16"/>
      <c r="H49" s="33">
        <f>'V_1,1pu_DIG'!H49</f>
        <v>3709028.3522766214</v>
      </c>
      <c r="I49" s="8">
        <f t="shared" si="11"/>
        <v>-1444488.3471281137</v>
      </c>
      <c r="J49" s="12">
        <f t="shared" si="10"/>
        <v>605.80255484067959</v>
      </c>
      <c r="K49" s="1">
        <f t="shared" si="9"/>
        <v>-51520525.887845859</v>
      </c>
      <c r="L49" s="1">
        <f t="shared" si="12"/>
        <v>-1444488.3471281137</v>
      </c>
      <c r="M49" s="14">
        <f t="shared" si="13"/>
        <v>3709.0283522766213</v>
      </c>
      <c r="N49" s="14">
        <f t="shared" si="14"/>
        <v>-1444.4883471281137</v>
      </c>
      <c r="O49" s="14">
        <f t="shared" si="15"/>
        <v>876.29765342217172</v>
      </c>
      <c r="P49" s="14">
        <f t="shared" si="16"/>
        <v>-1444.4883471281137</v>
      </c>
      <c r="Q49" s="14">
        <f t="shared" si="17"/>
        <v>3980.3816278066524</v>
      </c>
      <c r="R49" s="7">
        <f t="shared" si="18"/>
        <v>0.9318273218742702</v>
      </c>
    </row>
    <row r="50" spans="6:18" ht="16.5" thickTop="1" thickBot="1">
      <c r="F50" s="16"/>
      <c r="H50" s="33">
        <f>'V_1,1pu_DIG'!H50</f>
        <v>3653669.7201530896</v>
      </c>
      <c r="I50" s="8">
        <f t="shared" si="11"/>
        <v>-1548048.4226709632</v>
      </c>
      <c r="J50" s="12">
        <f t="shared" si="10"/>
        <v>603.02010048975171</v>
      </c>
      <c r="K50" s="1">
        <f t="shared" si="9"/>
        <v>-51528292.067287311</v>
      </c>
      <c r="L50" s="1">
        <f t="shared" si="12"/>
        <v>-1548048.4226709632</v>
      </c>
      <c r="M50" s="14">
        <f t="shared" si="13"/>
        <v>3653.6697201530897</v>
      </c>
      <c r="N50" s="14">
        <f t="shared" si="14"/>
        <v>-1548.0484226709632</v>
      </c>
      <c r="O50" s="14">
        <f t="shared" si="15"/>
        <v>872.31874370034495</v>
      </c>
      <c r="P50" s="14">
        <f t="shared" si="16"/>
        <v>-1548.0484226709632</v>
      </c>
      <c r="Q50" s="14">
        <f t="shared" si="17"/>
        <v>3968.0922800380554</v>
      </c>
      <c r="R50" s="7">
        <f t="shared" si="18"/>
        <v>0.92076228633424062</v>
      </c>
    </row>
    <row r="51" spans="6:18" ht="16.5" thickTop="1" thickBot="1">
      <c r="F51" s="16"/>
      <c r="H51" s="33">
        <f>'V_1,1pu_DIG'!H51</f>
        <v>3598311.0880295578</v>
      </c>
      <c r="I51" s="8">
        <f t="shared" si="11"/>
        <v>-1645104.047401438</v>
      </c>
      <c r="J51" s="12">
        <f t="shared" si="10"/>
        <v>600.4007025899848</v>
      </c>
      <c r="K51" s="1">
        <f t="shared" si="9"/>
        <v>-51535939.216223873</v>
      </c>
      <c r="L51" s="1">
        <f t="shared" si="12"/>
        <v>-1645104.047401438</v>
      </c>
      <c r="M51" s="14">
        <f t="shared" si="13"/>
        <v>3598.3110880295581</v>
      </c>
      <c r="N51" s="14">
        <f t="shared" si="14"/>
        <v>-1645.104047401438</v>
      </c>
      <c r="O51" s="14">
        <f t="shared" si="15"/>
        <v>868.57300470367818</v>
      </c>
      <c r="P51" s="14">
        <f t="shared" si="16"/>
        <v>-1645.104047401438</v>
      </c>
      <c r="Q51" s="14">
        <f t="shared" si="17"/>
        <v>3956.5401568811421</v>
      </c>
      <c r="R51" s="7">
        <f t="shared" si="18"/>
        <v>0.90945900846512107</v>
      </c>
    </row>
    <row r="52" spans="6:18" ht="16.5" thickTop="1" thickBot="1">
      <c r="F52" s="16"/>
      <c r="H52" s="33">
        <f>'V_1,1pu_DIG'!H52</f>
        <v>3542952.4559060261</v>
      </c>
      <c r="I52" s="8">
        <f t="shared" si="11"/>
        <v>-1736513.072884175</v>
      </c>
      <c r="J52" s="12">
        <f t="shared" si="10"/>
        <v>597.92320560290068</v>
      </c>
      <c r="K52" s="1">
        <f t="shared" si="9"/>
        <v>-51543467.438642532</v>
      </c>
      <c r="L52" s="1">
        <f t="shared" si="12"/>
        <v>-1736513.072884175</v>
      </c>
      <c r="M52" s="14">
        <f t="shared" si="13"/>
        <v>3542.952455906026</v>
      </c>
      <c r="N52" s="14">
        <f t="shared" si="14"/>
        <v>-1736.513072884175</v>
      </c>
      <c r="O52" s="14">
        <f t="shared" si="15"/>
        <v>865.03018401214797</v>
      </c>
      <c r="P52" s="14">
        <f t="shared" si="16"/>
        <v>-1736.513072884175</v>
      </c>
      <c r="Q52" s="14">
        <f t="shared" si="17"/>
        <v>3945.6291966058066</v>
      </c>
      <c r="R52" s="7">
        <f t="shared" si="18"/>
        <v>0.89794359260972123</v>
      </c>
    </row>
    <row r="53" spans="6:18" ht="16.5" thickTop="1" thickBot="1">
      <c r="F53" s="16"/>
      <c r="H53" s="33">
        <f>'V_1,1pu_DIG'!H53</f>
        <v>3321517.9274118994</v>
      </c>
      <c r="I53" s="8">
        <f t="shared" si="11"/>
        <v>-2057388.4639711452</v>
      </c>
      <c r="J53" s="12">
        <f t="shared" si="10"/>
        <v>589.14391519615197</v>
      </c>
      <c r="K53" s="1">
        <f t="shared" si="9"/>
        <v>-51572393.082284309</v>
      </c>
      <c r="L53" s="1">
        <f t="shared" si="12"/>
        <v>-2057388.4639711452</v>
      </c>
      <c r="M53" s="14">
        <f t="shared" si="13"/>
        <v>3321.5179274118996</v>
      </c>
      <c r="N53" s="14">
        <f t="shared" si="14"/>
        <v>-2057.388463971145</v>
      </c>
      <c r="O53" s="14">
        <f t="shared" si="15"/>
        <v>852.47579873049722</v>
      </c>
      <c r="P53" s="14">
        <f t="shared" si="16"/>
        <v>-2057.388463971145</v>
      </c>
      <c r="Q53" s="14">
        <f t="shared" si="17"/>
        <v>3907.0869754588507</v>
      </c>
      <c r="R53" s="7">
        <f t="shared" si="18"/>
        <v>0.85012643646660013</v>
      </c>
    </row>
    <row r="54" spans="6:18" ht="16.5" thickTop="1" thickBot="1">
      <c r="F54" s="16"/>
      <c r="H54" s="33">
        <f>'V_1,1pu_DIG'!H54</f>
        <v>3100083.3989177728</v>
      </c>
      <c r="I54" s="8">
        <f t="shared" si="11"/>
        <v>-2324421.705989623</v>
      </c>
      <c r="J54" s="12">
        <f t="shared" si="10"/>
        <v>581.73676812998337</v>
      </c>
      <c r="K54" s="1">
        <f t="shared" si="9"/>
        <v>-51599423.772303633</v>
      </c>
      <c r="L54" s="1">
        <f t="shared" si="12"/>
        <v>-2324421.705989623</v>
      </c>
      <c r="M54" s="14">
        <f t="shared" si="13"/>
        <v>3100.0833989177727</v>
      </c>
      <c r="N54" s="14">
        <f t="shared" si="14"/>
        <v>-2324.4217059896228</v>
      </c>
      <c r="O54" s="14">
        <f t="shared" si="15"/>
        <v>841.88357842587618</v>
      </c>
      <c r="P54" s="14">
        <f t="shared" si="16"/>
        <v>-2324.4217059896228</v>
      </c>
      <c r="Q54" s="14">
        <f t="shared" si="17"/>
        <v>3874.7197766446643</v>
      </c>
      <c r="R54" s="7">
        <f t="shared" si="18"/>
        <v>0.80007938060550732</v>
      </c>
    </row>
    <row r="55" spans="6:18" ht="16.5" thickTop="1" thickBot="1">
      <c r="F55" s="16"/>
      <c r="H55" s="33">
        <f>'V_1,1pu_DIG'!H55</f>
        <v>2878648.8704236462</v>
      </c>
      <c r="I55" s="8">
        <f t="shared" si="11"/>
        <v>-2551912.3648799341</v>
      </c>
      <c r="J55" s="12">
        <f t="shared" si="10"/>
        <v>575.35126019975587</v>
      </c>
      <c r="K55" s="1">
        <f t="shared" si="9"/>
        <v>-51624565.34231405</v>
      </c>
      <c r="L55" s="1">
        <f t="shared" si="12"/>
        <v>-2551912.3648799341</v>
      </c>
      <c r="M55" s="14">
        <f t="shared" si="13"/>
        <v>2878.6488704236463</v>
      </c>
      <c r="N55" s="14">
        <f t="shared" si="14"/>
        <v>-2551.9123648799341</v>
      </c>
      <c r="O55" s="14">
        <f t="shared" si="15"/>
        <v>832.75230208565085</v>
      </c>
      <c r="P55" s="14">
        <f t="shared" si="16"/>
        <v>-2551.9123648799341</v>
      </c>
      <c r="Q55" s="14">
        <f t="shared" si="17"/>
        <v>3846.9307294541231</v>
      </c>
      <c r="R55" s="7">
        <f t="shared" si="18"/>
        <v>0.74829755794228314</v>
      </c>
    </row>
    <row r="56" spans="6:18" ht="16.5" thickTop="1" thickBot="1">
      <c r="F56" s="16"/>
      <c r="H56" s="33">
        <f>'V_1,1pu_DIG'!H56</f>
        <v>2657214.3419295195</v>
      </c>
      <c r="I56" s="8">
        <f t="shared" si="11"/>
        <v>-2748252.6786124529</v>
      </c>
      <c r="J56" s="12">
        <f t="shared" si="10"/>
        <v>569.78258986655533</v>
      </c>
      <c r="K56" s="1">
        <f t="shared" si="9"/>
        <v>-51647823.196754247</v>
      </c>
      <c r="L56" s="1">
        <f t="shared" si="12"/>
        <v>-2748252.6786124529</v>
      </c>
      <c r="M56" s="14">
        <f t="shared" si="13"/>
        <v>2657.2143419295194</v>
      </c>
      <c r="N56" s="14">
        <f t="shared" si="14"/>
        <v>-2748.2526786124531</v>
      </c>
      <c r="O56" s="14">
        <f t="shared" si="15"/>
        <v>824.78910350917408</v>
      </c>
      <c r="P56" s="14">
        <f t="shared" si="16"/>
        <v>-2748.2526786124531</v>
      </c>
      <c r="Q56" s="14">
        <f t="shared" si="17"/>
        <v>3822.7844360435042</v>
      </c>
      <c r="R56" s="7">
        <f t="shared" si="18"/>
        <v>0.69509918395494896</v>
      </c>
    </row>
    <row r="57" spans="6:18" ht="16.5" thickTop="1" thickBot="1">
      <c r="F57" s="16"/>
      <c r="H57" s="33">
        <f>'V_1,1pu_DIG'!H57</f>
        <v>2435779.8134353929</v>
      </c>
      <c r="I57" s="8">
        <f t="shared" si="11"/>
        <v>-2918858.6623619185</v>
      </c>
      <c r="J57" s="12">
        <f t="shared" si="10"/>
        <v>564.89923323707649</v>
      </c>
      <c r="K57" s="1">
        <f t="shared" si="9"/>
        <v>-51669202.316796854</v>
      </c>
      <c r="L57" s="1">
        <f t="shared" ref="L57:L68" si="19">IF(ABS(I57)&lt;ABS(K57),I57,K57)</f>
        <v>-2918858.6623619185</v>
      </c>
      <c r="M57" s="14">
        <f t="shared" ref="M57:M68" si="20">H57/1000</f>
        <v>2435.779813435393</v>
      </c>
      <c r="N57" s="14">
        <f t="shared" ref="N57:N68" si="21">I57/1000</f>
        <v>-2918.8586623619185</v>
      </c>
      <c r="O57" s="14">
        <f t="shared" ref="O57:O68" si="22">J57*1.43+10</f>
        <v>817.80590352901936</v>
      </c>
      <c r="P57" s="14">
        <f t="shared" ref="P57:P68" si="23">L57/1000</f>
        <v>-2918.8586623619185</v>
      </c>
      <c r="Q57" s="14">
        <f t="shared" ref="Q57:Q68" si="24">SQRT(M57^2+P57^2)</f>
        <v>3801.6784701477009</v>
      </c>
      <c r="R57" s="7">
        <f t="shared" ref="R57:R68" si="25">M57/SQRT(M57^2+P57^2)</f>
        <v>0.64071168368448561</v>
      </c>
    </row>
    <row r="58" spans="6:18" ht="16.5" thickTop="1" thickBot="1">
      <c r="F58" s="16"/>
      <c r="H58" s="33">
        <f>'V_1,1pu_DIG'!H58</f>
        <v>2214345.2849412663</v>
      </c>
      <c r="I58" s="8">
        <f t="shared" si="11"/>
        <v>-3067453.9548456981</v>
      </c>
      <c r="J58" s="12">
        <f t="shared" si="10"/>
        <v>560.61124298267771</v>
      </c>
      <c r="K58" s="1">
        <f t="shared" si="9"/>
        <v>-51688707.265761763</v>
      </c>
      <c r="L58" s="1">
        <f t="shared" si="19"/>
        <v>-3067453.9548456981</v>
      </c>
      <c r="M58" s="14">
        <f t="shared" si="20"/>
        <v>2214.3452849412661</v>
      </c>
      <c r="N58" s="14">
        <f t="shared" si="21"/>
        <v>-3067.4539548456983</v>
      </c>
      <c r="O58" s="14">
        <f t="shared" si="22"/>
        <v>811.67407746522906</v>
      </c>
      <c r="P58" s="14">
        <f t="shared" si="23"/>
        <v>-3067.4539548456983</v>
      </c>
      <c r="Q58" s="14">
        <f t="shared" si="24"/>
        <v>3783.199546156683</v>
      </c>
      <c r="R58" s="7">
        <f t="shared" si="25"/>
        <v>0.58531020051289617</v>
      </c>
    </row>
    <row r="59" spans="6:18" ht="16.5" thickTop="1" thickBot="1">
      <c r="F59" s="16"/>
      <c r="H59" s="33">
        <f>'V_1,1pu_DIG'!H59</f>
        <v>1992910.7564471397</v>
      </c>
      <c r="I59" s="8">
        <f t="shared" si="11"/>
        <v>-3196714.3320633546</v>
      </c>
      <c r="J59" s="12">
        <f t="shared" si="10"/>
        <v>556.85434379275364</v>
      </c>
      <c r="K59" s="1">
        <f t="shared" si="9"/>
        <v>-51706342.194047481</v>
      </c>
      <c r="L59" s="1">
        <f t="shared" si="19"/>
        <v>-3196714.3320633546</v>
      </c>
      <c r="M59" s="14">
        <f t="shared" si="20"/>
        <v>1992.9107564471396</v>
      </c>
      <c r="N59" s="14">
        <f t="shared" si="21"/>
        <v>-3196.7143320633545</v>
      </c>
      <c r="O59" s="14">
        <f t="shared" si="22"/>
        <v>806.30171162363763</v>
      </c>
      <c r="P59" s="14">
        <f t="shared" si="23"/>
        <v>-3196.7143320633545</v>
      </c>
      <c r="Q59" s="14">
        <f t="shared" si="24"/>
        <v>3767.0513407679973</v>
      </c>
      <c r="R59" s="7">
        <f t="shared" si="25"/>
        <v>0.52903732287355565</v>
      </c>
    </row>
    <row r="60" spans="6:18" ht="16.5" thickTop="1" thickBot="1">
      <c r="F60" s="16"/>
      <c r="H60" s="33">
        <f>'V_1,1pu_DIG'!H60</f>
        <v>1771476.227953013</v>
      </c>
      <c r="I60" s="8">
        <f t="shared" si="11"/>
        <v>-3308623.7104305765</v>
      </c>
      <c r="J60" s="12">
        <f t="shared" si="10"/>
        <v>553.58115219506271</v>
      </c>
      <c r="K60" s="1">
        <f t="shared" si="9"/>
        <v>-51722110.843593448</v>
      </c>
      <c r="L60" s="1">
        <f t="shared" si="19"/>
        <v>-3308623.7104305765</v>
      </c>
      <c r="M60" s="14">
        <f t="shared" si="20"/>
        <v>1771.476227953013</v>
      </c>
      <c r="N60" s="14">
        <f t="shared" si="21"/>
        <v>-3308.6237104305765</v>
      </c>
      <c r="O60" s="14">
        <f t="shared" si="22"/>
        <v>801.62104763893967</v>
      </c>
      <c r="P60" s="14">
        <f t="shared" si="23"/>
        <v>-3308.6237104305765</v>
      </c>
      <c r="Q60" s="14">
        <f t="shared" si="24"/>
        <v>3753.0146393833893</v>
      </c>
      <c r="R60" s="7">
        <f t="shared" si="25"/>
        <v>0.47201420675621503</v>
      </c>
    </row>
    <row r="61" spans="6:18" ht="16.5" thickTop="1" thickBot="1">
      <c r="F61" s="16"/>
      <c r="H61" s="33">
        <f>'V_1,1pu_DIG'!H61</f>
        <v>1550041.6994588864</v>
      </c>
      <c r="I61" s="8">
        <f t="shared" si="11"/>
        <v>-3404685.1582273417</v>
      </c>
      <c r="J61" s="12">
        <f t="shared" si="10"/>
        <v>550.75597471955541</v>
      </c>
      <c r="K61" s="1">
        <f t="shared" si="9"/>
        <v>-51736016.551884435</v>
      </c>
      <c r="L61" s="1">
        <f t="shared" si="19"/>
        <v>-3404685.1582273417</v>
      </c>
      <c r="M61" s="14">
        <f t="shared" si="20"/>
        <v>1550.0416994588863</v>
      </c>
      <c r="N61" s="14">
        <f t="shared" si="21"/>
        <v>-3404.6851582273416</v>
      </c>
      <c r="O61" s="14">
        <f t="shared" si="22"/>
        <v>797.58104384896421</v>
      </c>
      <c r="P61" s="14">
        <f t="shared" si="23"/>
        <v>-3404.6851582273416</v>
      </c>
      <c r="Q61" s="14">
        <f t="shared" si="24"/>
        <v>3740.9237223866153</v>
      </c>
      <c r="R61" s="7">
        <f t="shared" si="25"/>
        <v>0.4143473148578391</v>
      </c>
    </row>
    <row r="62" spans="6:18" ht="16.5" thickTop="1" thickBot="1">
      <c r="F62" s="16"/>
      <c r="H62" s="33">
        <f>'V_1,1pu_DIG'!H62</f>
        <v>1328607.1709647598</v>
      </c>
      <c r="I62" s="8">
        <f t="shared" si="11"/>
        <v>-3486052.8370483615</v>
      </c>
      <c r="J62" s="12">
        <f t="shared" si="10"/>
        <v>548.3515564257591</v>
      </c>
      <c r="K62" s="1">
        <f t="shared" si="9"/>
        <v>-51748062.255507253</v>
      </c>
      <c r="L62" s="1">
        <f t="shared" si="19"/>
        <v>-3486052.8370483615</v>
      </c>
      <c r="M62" s="14">
        <f t="shared" si="20"/>
        <v>1328.6071709647597</v>
      </c>
      <c r="N62" s="14">
        <f t="shared" si="21"/>
        <v>-3486.0528370483617</v>
      </c>
      <c r="O62" s="14">
        <f t="shared" si="22"/>
        <v>794.14272568883553</v>
      </c>
      <c r="P62" s="14">
        <f t="shared" si="23"/>
        <v>-3486.0528370483617</v>
      </c>
      <c r="Q62" s="14">
        <f t="shared" si="24"/>
        <v>3730.6516049387287</v>
      </c>
      <c r="R62" s="7">
        <f t="shared" si="25"/>
        <v>0.35613273810020663</v>
      </c>
    </row>
    <row r="63" spans="6:18" ht="16.5" thickTop="1" thickBot="1">
      <c r="F63" s="16"/>
      <c r="H63" s="33">
        <f>'V_1,1pu_DIG'!H63</f>
        <v>1107172.6424706331</v>
      </c>
      <c r="I63" s="8">
        <f t="shared" si="11"/>
        <v>-3553617.9221998593</v>
      </c>
      <c r="J63" s="12">
        <f t="shared" si="10"/>
        <v>546.34696403459122</v>
      </c>
      <c r="K63" s="1">
        <f t="shared" si="9"/>
        <v>-51758250.493268453</v>
      </c>
      <c r="L63" s="1">
        <f t="shared" si="19"/>
        <v>-3553617.9221998593</v>
      </c>
      <c r="M63" s="14">
        <f t="shared" si="20"/>
        <v>1107.172642470633</v>
      </c>
      <c r="N63" s="14">
        <f t="shared" si="21"/>
        <v>-3553.6179221998591</v>
      </c>
      <c r="O63" s="14">
        <f t="shared" si="22"/>
        <v>791.27615856946545</v>
      </c>
      <c r="P63" s="14">
        <f t="shared" si="23"/>
        <v>-3553.6179221998591</v>
      </c>
      <c r="Q63" s="14">
        <f t="shared" si="24"/>
        <v>3722.1004281474525</v>
      </c>
      <c r="R63" s="7">
        <f t="shared" si="25"/>
        <v>0.29745909973248363</v>
      </c>
    </row>
    <row r="64" spans="6:18" ht="16.5" thickTop="1" thickBot="1">
      <c r="F64" s="16"/>
      <c r="H64" s="33">
        <f>'V_1,1pu_DIG'!H64</f>
        <v>885738.1139765064</v>
      </c>
      <c r="I64" s="8">
        <f t="shared" si="11"/>
        <v>-3608066.2401742288</v>
      </c>
      <c r="J64" s="12">
        <f t="shared" si="10"/>
        <v>544.72616605090002</v>
      </c>
      <c r="K64" s="1">
        <f t="shared" si="9"/>
        <v>-51766583.408880994</v>
      </c>
      <c r="L64" s="1">
        <f t="shared" si="19"/>
        <v>-3608066.2401742288</v>
      </c>
      <c r="M64" s="14">
        <f t="shared" si="20"/>
        <v>885.73811397650638</v>
      </c>
      <c r="N64" s="14">
        <f t="shared" si="21"/>
        <v>-3608.0662401742288</v>
      </c>
      <c r="O64" s="14">
        <f t="shared" si="22"/>
        <v>788.95841745278699</v>
      </c>
      <c r="P64" s="14">
        <f t="shared" si="23"/>
        <v>-3608.0662401742288</v>
      </c>
      <c r="Q64" s="14">
        <f t="shared" si="24"/>
        <v>3715.195015074667</v>
      </c>
      <c r="R64" s="7">
        <f t="shared" si="25"/>
        <v>0.23840958829417061</v>
      </c>
    </row>
    <row r="65" spans="6:18" ht="16.5" thickTop="1" thickBot="1">
      <c r="F65" s="16"/>
      <c r="H65" s="33">
        <f>'V_1,1pu_DIG'!H65</f>
        <v>664303.58548237965</v>
      </c>
      <c r="I65" s="8">
        <f t="shared" si="11"/>
        <v>-3649917.6682981458</v>
      </c>
      <c r="J65" s="12">
        <f t="shared" si="10"/>
        <v>543.4770621846103</v>
      </c>
      <c r="K65" s="1">
        <f t="shared" si="9"/>
        <v>-51773062.753226593</v>
      </c>
      <c r="L65" s="1">
        <f t="shared" si="19"/>
        <v>-3649917.6682981458</v>
      </c>
      <c r="M65" s="14">
        <f t="shared" si="20"/>
        <v>664.30358548237962</v>
      </c>
      <c r="N65" s="14">
        <f t="shared" si="21"/>
        <v>-3649.9176682981456</v>
      </c>
      <c r="O65" s="14">
        <f t="shared" si="22"/>
        <v>787.17219892399271</v>
      </c>
      <c r="P65" s="14">
        <f t="shared" si="23"/>
        <v>-3649.9176682981456</v>
      </c>
      <c r="Q65" s="14">
        <f t="shared" si="24"/>
        <v>3709.8784668826711</v>
      </c>
      <c r="R65" s="7">
        <f t="shared" si="25"/>
        <v>0.17906343601616126</v>
      </c>
    </row>
    <row r="66" spans="6:18" ht="16.5" thickTop="1" thickBot="1">
      <c r="F66" s="16"/>
      <c r="H66" s="33">
        <f>'V_1,1pu_DIG'!H66</f>
        <v>442869.05698825291</v>
      </c>
      <c r="I66" s="8">
        <f t="shared" si="11"/>
        <v>-3679553.2234099684</v>
      </c>
      <c r="J66" s="12">
        <f t="shared" si="10"/>
        <v>542.59081600163461</v>
      </c>
      <c r="K66" s="1">
        <f t="shared" si="9"/>
        <v>-51777689.88619899</v>
      </c>
      <c r="L66" s="1">
        <f t="shared" si="19"/>
        <v>-3679553.2234099684</v>
      </c>
      <c r="M66" s="14">
        <f t="shared" si="20"/>
        <v>442.86905698825291</v>
      </c>
      <c r="N66" s="14">
        <f t="shared" si="21"/>
        <v>-3679.5532234099683</v>
      </c>
      <c r="O66" s="14">
        <f t="shared" si="22"/>
        <v>785.9048668823375</v>
      </c>
      <c r="P66" s="14">
        <f t="shared" si="23"/>
        <v>-3679.5532234099683</v>
      </c>
      <c r="Q66" s="14">
        <f t="shared" si="24"/>
        <v>3706.1091356764377</v>
      </c>
      <c r="R66" s="7">
        <f t="shared" si="25"/>
        <v>0.11949703604921516</v>
      </c>
    </row>
    <row r="67" spans="6:18" ht="16.5" thickTop="1" thickBot="1">
      <c r="F67" s="16"/>
      <c r="H67" s="33">
        <f>'V_1,1pu_DIG'!H67</f>
        <v>221434.52849412619</v>
      </c>
      <c r="I67" s="8">
        <f t="shared" si="11"/>
        <v>-3697233.4344654121</v>
      </c>
      <c r="J67" s="12">
        <f t="shared" si="10"/>
        <v>542.06140225181036</v>
      </c>
      <c r="K67" s="1">
        <f t="shared" si="9"/>
        <v>-51780465.778133087</v>
      </c>
      <c r="L67" s="1">
        <f t="shared" si="19"/>
        <v>-3697233.4344654121</v>
      </c>
      <c r="M67" s="14">
        <f t="shared" si="20"/>
        <v>221.4345284941262</v>
      </c>
      <c r="N67" s="14">
        <f t="shared" si="21"/>
        <v>-3697.2334344654118</v>
      </c>
      <c r="O67" s="14">
        <f t="shared" si="22"/>
        <v>785.1478052200888</v>
      </c>
      <c r="P67" s="14">
        <f t="shared" si="23"/>
        <v>-3697.2334344654118</v>
      </c>
      <c r="Q67" s="14">
        <f t="shared" si="24"/>
        <v>3703.858571724671</v>
      </c>
      <c r="R67" s="7">
        <f t="shared" si="25"/>
        <v>5.9784822828971317E-2</v>
      </c>
    </row>
    <row r="68" spans="6:18" ht="16.5" thickTop="1" thickBot="1">
      <c r="F68" s="16"/>
      <c r="H68" s="33">
        <f>'V_1,1pu_DIG'!H68</f>
        <v>-5.2386894822120667E-10</v>
      </c>
      <c r="I68" s="8">
        <f t="shared" si="11"/>
        <v>-3703110.1989168744</v>
      </c>
      <c r="J68" s="12">
        <f>SQRT(3)*SQRT(($B$3/SQRT(3)*K_1+SQRT(H68^2+I68^2)/SQRT(3)/$B$3/Nm*I68/SQRT(H68^2+I68^2)*K_2)^2+(SQRT(H68^2+I68^2)/SQRT(3)/$B$3/Nm*H68/SQRT(H68^2+I68^2)*K_2)^2)</f>
        <v>541.88531471034185</v>
      </c>
      <c r="K68" s="1">
        <f t="shared" si="9"/>
        <v>-51781391.01082322</v>
      </c>
      <c r="L68" s="1">
        <f t="shared" si="19"/>
        <v>-3703110.1989168744</v>
      </c>
      <c r="M68" s="14">
        <f t="shared" si="20"/>
        <v>-5.2386894822120663E-13</v>
      </c>
      <c r="N68" s="14">
        <f t="shared" si="21"/>
        <v>-3703.1101989168742</v>
      </c>
      <c r="O68" s="14">
        <f t="shared" si="22"/>
        <v>784.8960000357888</v>
      </c>
      <c r="P68" s="14">
        <f t="shared" si="23"/>
        <v>-3703.1101989168742</v>
      </c>
      <c r="Q68" s="14">
        <f t="shared" si="24"/>
        <v>3703.1101989168742</v>
      </c>
      <c r="R68" s="7">
        <f t="shared" si="25"/>
        <v>-1.4146728562774975E-16</v>
      </c>
    </row>
    <row r="69" spans="6:18" ht="15.75" thickTop="1"/>
  </sheetData>
  <hyperlinks>
    <hyperlink ref="A13" r:id="rId1" display="Vdc@Tmin" xr:uid="{00000000-0004-0000-0B00-000000000000}"/>
    <hyperlink ref="A22" r:id="rId2" display="P@PF=1 (W) (kW)" xr:uid="{00000000-0004-0000-0B00-000001000000}"/>
    <hyperlink ref="C22" r:id="rId3" display="P@PF=1 (kW)" xr:uid="{00000000-0004-0000-0B00-000002000000}"/>
    <hyperlink ref="C23" r:id="rId4" display="P@PF=1 (kW)" xr:uid="{00000000-0004-0000-0B00-000003000000}"/>
  </hyperlinks>
  <pageMargins left="0.7" right="0.7" top="0.75" bottom="0.75" header="0.3" footer="0.3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69"/>
  <sheetViews>
    <sheetView workbookViewId="0">
      <selection activeCell="F4" sqref="F4:F68"/>
    </sheetView>
  </sheetViews>
  <sheetFormatPr baseColWidth="10" defaultRowHeight="15"/>
  <cols>
    <col min="1" max="1" width="28.140625" customWidth="1"/>
    <col min="2" max="2" width="14.5703125" bestFit="1" customWidth="1"/>
    <col min="3" max="3" width="17.42578125" bestFit="1" customWidth="1"/>
    <col min="4" max="4" width="10.5703125" bestFit="1" customWidth="1"/>
    <col min="6" max="6" width="21.140625" bestFit="1" customWidth="1"/>
    <col min="8" max="8" width="9.140625" hidden="1" customWidth="1"/>
    <col min="9" max="12" width="11.85546875" hidden="1" customWidth="1"/>
    <col min="13" max="13" width="10.5703125" bestFit="1" customWidth="1"/>
    <col min="14" max="15" width="10.5703125" customWidth="1"/>
    <col min="16" max="16" width="10.7109375" bestFit="1" customWidth="1"/>
    <col min="19" max="19" width="10.85546875" bestFit="1" customWidth="1"/>
  </cols>
  <sheetData>
    <row r="1" spans="1:19" ht="15.75" thickBot="1">
      <c r="A1" s="3" t="s">
        <v>70</v>
      </c>
      <c r="B1">
        <f>Capability!B1</f>
        <v>620</v>
      </c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18</v>
      </c>
      <c r="O1" s="2" t="s">
        <v>19</v>
      </c>
      <c r="P1" s="2" t="s">
        <v>14</v>
      </c>
      <c r="Q1" s="2" t="s">
        <v>13</v>
      </c>
      <c r="R1" s="2" t="s">
        <v>12</v>
      </c>
    </row>
    <row r="2" spans="1:19" ht="16.5" thickTop="1" thickBot="1">
      <c r="A2" s="3" t="s">
        <v>71</v>
      </c>
      <c r="B2" s="28">
        <v>1.06</v>
      </c>
      <c r="F2" t="s">
        <v>20</v>
      </c>
      <c r="G2" s="15">
        <f>Capability!G2</f>
        <v>3750</v>
      </c>
      <c r="H2" s="1">
        <f>G2*1000</f>
        <v>3750000</v>
      </c>
      <c r="I2" s="8">
        <f>Nm*(SQRT(IF(3/K_3^2*Ii^2*B3^2-(H2/Nm)^2&lt;0.0000000001,0,3/K_3^2*Ii^2*B3^2-(H2/Nm)^2))+B3^2/K_3*K_4)</f>
        <v>2500558.4250923255</v>
      </c>
      <c r="J2" s="11">
        <f>SQRT(3)*SQRT((B3/SQRT(3)*K_1+SQRT(H2^2+I2^2)/SQRT(3)/B3/Nm*I2/SQRT(H2^2+I2^2)*K_2)^2+(SQRT(H2^2+I2^2)/SQRT(3)/B3/Nm*H2/SQRT(H2^2+I2^2)*K_2)^2)</f>
        <v>714.6836029501867</v>
      </c>
      <c r="K2" s="1">
        <f>Nm*(SQRT(Vi^2*B3^2/K_2^2-(H2/Nm)^2)-B3^2*K_1/K_2)</f>
        <v>481317.41360725276</v>
      </c>
      <c r="L2" s="1">
        <f>IF(ABS(I2)&lt;ABS(K2),I2,K2)</f>
        <v>481317.41360725276</v>
      </c>
      <c r="M2" s="13">
        <f t="shared" ref="M2:N44" si="0">H2/1000</f>
        <v>3750</v>
      </c>
      <c r="N2" s="13">
        <f>I2/1000</f>
        <v>2500.5584250923257</v>
      </c>
      <c r="O2" s="13">
        <f>J2*1.43+10</f>
        <v>1031.9975522187669</v>
      </c>
      <c r="P2" s="13">
        <f t="shared" ref="P2:P44" si="1">L2/1000</f>
        <v>481.31741360725277</v>
      </c>
      <c r="Q2" s="13">
        <f>SQRT(M2^2+P2^2)</f>
        <v>3780.7626813437491</v>
      </c>
      <c r="R2" s="9">
        <f>M2/SQRT(M2^2+P2^2)</f>
        <v>0.99186336622090876</v>
      </c>
      <c r="S2" s="10" t="s">
        <v>15</v>
      </c>
    </row>
    <row r="3" spans="1:19" ht="16.5" thickTop="1" thickBot="1">
      <c r="A3" s="21" t="s">
        <v>67</v>
      </c>
      <c r="B3" s="21">
        <f>$B$1*B2</f>
        <v>657.2</v>
      </c>
      <c r="F3" t="s">
        <v>21</v>
      </c>
      <c r="G3" s="15">
        <f>Capability!G3</f>
        <v>2846</v>
      </c>
      <c r="H3" s="1">
        <f>G3*1000</f>
        <v>2846000</v>
      </c>
      <c r="I3" s="8">
        <f>Nm*(-SQRT(IF(3/K_3^2*Ii^2*B3^2-(H3/Nm)^2&lt;0.0000000001,0,3/K_3^2*Ii^2*B3^2-(H3/Nm)^2))+B3^2/K_3*K_4)</f>
        <v>-2673200.7365987739</v>
      </c>
      <c r="J3" s="12">
        <f>SQRT(3)*SQRT((B3/SQRT(3)*K_1+SQRT(H3^2+I3^2)/SQRT(3)/B3/Nm*I3/SQRT(H3^2+I3^2)*K_2)^2+(SQRT(H3^2+I3^2)/SQRT(3)/B3/Nm*H3/SQRT(H3^2+I3^2)*K_2)^2)</f>
        <v>585.4364346050088</v>
      </c>
      <c r="K3" s="1">
        <f>Nm*(-SQRT(Vi^2*B3^2/K_2^2-(H3/Nm)^2)-B3^2*K_1/K_2)</f>
        <v>-53122381.576672263</v>
      </c>
      <c r="L3" s="1">
        <f>IF(ABS(I3)&lt;ABS(K3),I3,K3)</f>
        <v>-2673200.7365987739</v>
      </c>
      <c r="M3" s="13">
        <f t="shared" si="0"/>
        <v>2846</v>
      </c>
      <c r="N3" s="13">
        <f t="shared" si="0"/>
        <v>-2673.2007365987738</v>
      </c>
      <c r="O3" s="13">
        <f t="shared" ref="O3:O44" si="2">J3*1.43+10</f>
        <v>847.17410148516251</v>
      </c>
      <c r="P3" s="13">
        <f t="shared" si="1"/>
        <v>-2673.2007365987738</v>
      </c>
      <c r="Q3" s="13">
        <f>SQRT(M3^2+P3^2)</f>
        <v>3904.576568355681</v>
      </c>
      <c r="R3" s="9">
        <f>M3/SQRT(M3^2+P3^2)</f>
        <v>0.72888825463564277</v>
      </c>
      <c r="S3" s="10" t="s">
        <v>16</v>
      </c>
    </row>
    <row r="4" spans="1:19" ht="16.5" thickTop="1" thickBot="1">
      <c r="A4" s="3" t="s">
        <v>11</v>
      </c>
      <c r="B4" s="6">
        <f>Nm</f>
        <v>3</v>
      </c>
      <c r="F4" s="16"/>
      <c r="H4" s="33">
        <f>'V_1,1pu_DIG'!H4</f>
        <v>0</v>
      </c>
      <c r="I4" s="8">
        <f t="shared" ref="I4:I36" si="3">Nm*(SQRT(IF(3/K_3^2*Ii^2*$B$3^2-(H4/Nm)^2&lt;0.0000000001,0,3/K_3^2*Ii^2*$B$3^2-(H4/Nm)^2))+$B$3^2/K_3*K_4)</f>
        <v>4744942.6909699775</v>
      </c>
      <c r="J4" s="12">
        <f t="shared" ref="J4:J35" si="4">SQRT(3)*SQRT(($B$3/SQRT(3)*K_1+SQRT(H4^2+I4^2)/SQRT(3)/$B$3/Nm*I4/SQRT(H4^2+I4^2)*K_2)^2+(SQRT(H4^2+I4^2)/SQRT(3)/$B$3/Nm*H4/SQRT(H4^2+I4^2)*K_2)^2)</f>
        <v>763.98120106305191</v>
      </c>
      <c r="K4" s="1">
        <f t="shared" ref="K4:K36" si="5">Nm*(SQRT(Vi^2*$B$3^2/K_2^2-(H4/Nm)^2)-$B$3^2*K_1/K_2)</f>
        <v>742925.51721362025</v>
      </c>
      <c r="L4" s="1">
        <f>IF(ABS(I4)&lt;ABS(K4),I4,K4)</f>
        <v>742925.51721362025</v>
      </c>
      <c r="M4" s="14">
        <f t="shared" si="0"/>
        <v>0</v>
      </c>
      <c r="N4" s="14">
        <f t="shared" si="0"/>
        <v>4744.9426909699778</v>
      </c>
      <c r="O4" s="14">
        <f t="shared" si="2"/>
        <v>1102.4931175201641</v>
      </c>
      <c r="P4" s="14">
        <f t="shared" si="1"/>
        <v>742.9255172136202</v>
      </c>
      <c r="Q4" s="14">
        <f t="shared" ref="Q4:Q44" si="6">SQRT(M4^2+P4^2)</f>
        <v>742.9255172136202</v>
      </c>
      <c r="R4" s="7">
        <f>M4/SQRT(M4^2+P4^2)</f>
        <v>0</v>
      </c>
    </row>
    <row r="5" spans="1:19" ht="16.5" thickTop="1" thickBot="1">
      <c r="A5" s="3" t="s">
        <v>1</v>
      </c>
      <c r="B5" s="6">
        <f>Capability!B5</f>
        <v>50</v>
      </c>
      <c r="C5" s="1" t="s">
        <v>32</v>
      </c>
      <c r="D5" s="1">
        <f>2*PI()*B5</f>
        <v>314.15926535897933</v>
      </c>
      <c r="F5" s="16"/>
      <c r="H5" s="33">
        <f>'V_1,1pu_DIG'!H5</f>
        <v>221434.52849412672</v>
      </c>
      <c r="I5" s="8">
        <f t="shared" si="3"/>
        <v>4739176.9607717413</v>
      </c>
      <c r="J5" s="12">
        <f t="shared" si="4"/>
        <v>763.85863372125493</v>
      </c>
      <c r="K5" s="1">
        <f t="shared" si="5"/>
        <v>742017.74233649299</v>
      </c>
      <c r="L5" s="1">
        <f t="shared" ref="L5:L44" si="7">IF(ABS(I5)&lt;ABS(K5),I5,K5)</f>
        <v>742017.74233649299</v>
      </c>
      <c r="M5" s="14">
        <f t="shared" si="0"/>
        <v>221.43452849412671</v>
      </c>
      <c r="N5" s="14">
        <f t="shared" si="0"/>
        <v>4739.1769607717415</v>
      </c>
      <c r="O5" s="14">
        <f t="shared" si="2"/>
        <v>1102.3178462213946</v>
      </c>
      <c r="P5" s="14">
        <f t="shared" si="1"/>
        <v>742.01774233649303</v>
      </c>
      <c r="Q5" s="14">
        <f t="shared" si="6"/>
        <v>774.35365328224702</v>
      </c>
      <c r="R5" s="7">
        <f t="shared" ref="R5:R44" si="8">M5/SQRT(M5^2+P5^2)</f>
        <v>0.2859604620647605</v>
      </c>
    </row>
    <row r="6" spans="1:19" ht="16.5" thickTop="1" thickBot="1">
      <c r="A6" s="3" t="s">
        <v>0</v>
      </c>
      <c r="B6" s="6">
        <f>Capability!B6</f>
        <v>2700</v>
      </c>
      <c r="F6" s="16"/>
      <c r="H6" s="33">
        <f>'V_1,1pu_DIG'!H6</f>
        <v>442869.05698825343</v>
      </c>
      <c r="I6" s="8">
        <f t="shared" si="3"/>
        <v>4721832.6375179924</v>
      </c>
      <c r="J6" s="12">
        <f t="shared" si="4"/>
        <v>763.48981113211084</v>
      </c>
      <c r="K6" s="1">
        <f t="shared" si="5"/>
        <v>739294.23461024836</v>
      </c>
      <c r="L6" s="1">
        <f t="shared" si="7"/>
        <v>739294.23461024836</v>
      </c>
      <c r="M6" s="14">
        <f t="shared" si="0"/>
        <v>442.86905698825342</v>
      </c>
      <c r="N6" s="14">
        <f t="shared" si="0"/>
        <v>4721.8326375179922</v>
      </c>
      <c r="O6" s="14">
        <f t="shared" si="2"/>
        <v>1101.7904299189186</v>
      </c>
      <c r="P6" s="14">
        <f t="shared" si="1"/>
        <v>739.2942346102484</v>
      </c>
      <c r="Q6" s="14">
        <f t="shared" si="6"/>
        <v>861.79403975985929</v>
      </c>
      <c r="R6" s="7">
        <f t="shared" si="8"/>
        <v>0.51389199339515024</v>
      </c>
    </row>
    <row r="7" spans="1:19" ht="16.5" thickTop="1" thickBot="1">
      <c r="A7" s="3" t="s">
        <v>43</v>
      </c>
      <c r="B7" s="6">
        <f>Capability!B7</f>
        <v>33</v>
      </c>
      <c r="C7" s="1" t="s">
        <v>40</v>
      </c>
      <c r="D7" s="1">
        <f>B7+aux!C6</f>
        <v>44.25</v>
      </c>
      <c r="F7" s="16"/>
      <c r="H7" s="33">
        <f>'V_1,1pu_DIG'!H7</f>
        <v>664303.58548238012</v>
      </c>
      <c r="I7" s="8">
        <f t="shared" si="3"/>
        <v>4692766.3755114777</v>
      </c>
      <c r="J7" s="12">
        <f t="shared" si="4"/>
        <v>762.87132471722293</v>
      </c>
      <c r="K7" s="1">
        <f t="shared" si="5"/>
        <v>734754.44456563331</v>
      </c>
      <c r="L7" s="1">
        <f t="shared" si="7"/>
        <v>734754.44456563331</v>
      </c>
      <c r="M7" s="14">
        <f t="shared" si="0"/>
        <v>664.30358548238007</v>
      </c>
      <c r="N7" s="14">
        <f t="shared" si="0"/>
        <v>4692.7663755114781</v>
      </c>
      <c r="O7" s="14">
        <f t="shared" si="2"/>
        <v>1100.9059943456286</v>
      </c>
      <c r="P7" s="14">
        <f t="shared" si="1"/>
        <v>734.75444456563332</v>
      </c>
      <c r="Q7" s="14">
        <f t="shared" si="6"/>
        <v>990.53689860282248</v>
      </c>
      <c r="R7" s="7">
        <f t="shared" si="8"/>
        <v>0.67065001457229634</v>
      </c>
    </row>
    <row r="8" spans="1:19" ht="16.5" thickTop="1" thickBot="1">
      <c r="A8" s="3" t="s">
        <v>41</v>
      </c>
      <c r="B8" s="6">
        <f>Capability!B8</f>
        <v>951.5</v>
      </c>
      <c r="C8" s="1" t="s">
        <v>33</v>
      </c>
      <c r="D8" s="1">
        <f>IF(B8&gt;1250,1250,IF(B8&lt;B3*1.43,B3*1.43,B8))</f>
        <v>951.5</v>
      </c>
      <c r="F8" s="16"/>
      <c r="H8" s="33">
        <f>'V_1,1pu_DIG'!H8</f>
        <v>885738.11397650687</v>
      </c>
      <c r="I8" s="8">
        <f t="shared" si="3"/>
        <v>4651732.581887641</v>
      </c>
      <c r="J8" s="12">
        <f t="shared" si="4"/>
        <v>761.99733260680807</v>
      </c>
      <c r="K8" s="1">
        <f t="shared" si="5"/>
        <v>728397.45580445789</v>
      </c>
      <c r="L8" s="1">
        <f t="shared" si="7"/>
        <v>728397.45580445789</v>
      </c>
      <c r="M8" s="14">
        <f t="shared" si="0"/>
        <v>885.73811397650684</v>
      </c>
      <c r="N8" s="14">
        <f t="shared" si="0"/>
        <v>4651.7325818876407</v>
      </c>
      <c r="O8" s="14">
        <f t="shared" si="2"/>
        <v>1099.6561856277356</v>
      </c>
      <c r="P8" s="14">
        <f t="shared" si="1"/>
        <v>728.39745580445788</v>
      </c>
      <c r="Q8" s="14">
        <f t="shared" si="6"/>
        <v>1146.7758543730622</v>
      </c>
      <c r="R8" s="7">
        <f t="shared" si="8"/>
        <v>0.77237248290402516</v>
      </c>
    </row>
    <row r="9" spans="1:19" ht="16.5" thickTop="1" thickBot="1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H9" s="33">
        <f>'V_1,1pu_DIG'!H9</f>
        <v>1107172.6424706336</v>
      </c>
      <c r="I9" s="8">
        <f t="shared" si="3"/>
        <v>4598372.6886926312</v>
      </c>
      <c r="J9" s="12">
        <f t="shared" si="4"/>
        <v>760.85930129253882</v>
      </c>
      <c r="K9" s="1">
        <f t="shared" si="5"/>
        <v>720221.98407394253</v>
      </c>
      <c r="L9" s="1">
        <f t="shared" si="7"/>
        <v>720221.98407394253</v>
      </c>
      <c r="M9" s="14">
        <f t="shared" si="0"/>
        <v>1107.1726424706337</v>
      </c>
      <c r="N9" s="14">
        <f t="shared" si="0"/>
        <v>4598.3726886926315</v>
      </c>
      <c r="O9" s="14">
        <f t="shared" si="2"/>
        <v>1098.0288008483305</v>
      </c>
      <c r="P9" s="14">
        <f t="shared" si="1"/>
        <v>720.22198407394251</v>
      </c>
      <c r="Q9" s="14">
        <f t="shared" si="6"/>
        <v>1320.8145087705586</v>
      </c>
      <c r="R9" s="7">
        <f t="shared" si="8"/>
        <v>0.8382499095207645</v>
      </c>
    </row>
    <row r="10" spans="1:19" ht="16.5" thickTop="1" thickBot="1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1.1492499999999999</v>
      </c>
      <c r="F10" s="16"/>
      <c r="H10" s="33">
        <f>'V_1,1pu_DIG'!H10</f>
        <v>1328607.1709647602</v>
      </c>
      <c r="I10" s="8">
        <f t="shared" si="3"/>
        <v>4532198.5938641345</v>
      </c>
      <c r="J10" s="12">
        <f t="shared" si="4"/>
        <v>759.44560671508805</v>
      </c>
      <c r="K10" s="1">
        <f t="shared" si="5"/>
        <v>710226.37596771866</v>
      </c>
      <c r="L10" s="1">
        <f t="shared" si="7"/>
        <v>710226.37596771866</v>
      </c>
      <c r="M10" s="14">
        <f t="shared" si="0"/>
        <v>1328.6071709647601</v>
      </c>
      <c r="N10" s="14">
        <f t="shared" si="0"/>
        <v>4532.1985938641346</v>
      </c>
      <c r="O10" s="14">
        <f t="shared" si="2"/>
        <v>1096.0072176025758</v>
      </c>
      <c r="P10" s="14">
        <f t="shared" si="1"/>
        <v>710.2263759677187</v>
      </c>
      <c r="Q10" s="14">
        <f t="shared" si="6"/>
        <v>1506.5253133814986</v>
      </c>
      <c r="R10" s="7">
        <f t="shared" si="8"/>
        <v>0.88190165751852578</v>
      </c>
    </row>
    <row r="11" spans="1:19" ht="16.5" thickTop="1" thickBot="1">
      <c r="A11" s="21" t="s">
        <v>49</v>
      </c>
      <c r="B11" s="20">
        <f>B9*B10</f>
        <v>1.2004372301587298</v>
      </c>
      <c r="F11" s="16"/>
      <c r="H11" s="33">
        <f>'V_1,1pu_DIG'!H11</f>
        <v>1550041.6994588869</v>
      </c>
      <c r="I11" s="8">
        <f t="shared" si="3"/>
        <v>4452568.3767383415</v>
      </c>
      <c r="J11" s="12">
        <f t="shared" si="4"/>
        <v>757.74094897585019</v>
      </c>
      <c r="K11" s="1">
        <f t="shared" si="5"/>
        <v>698408.60725048184</v>
      </c>
      <c r="L11" s="1">
        <f t="shared" si="7"/>
        <v>698408.60725048184</v>
      </c>
      <c r="M11" s="14">
        <f t="shared" si="0"/>
        <v>1550.0416994588868</v>
      </c>
      <c r="N11" s="14">
        <f t="shared" si="0"/>
        <v>4452.5683767383416</v>
      </c>
      <c r="O11" s="14">
        <f t="shared" si="2"/>
        <v>1093.5695570354658</v>
      </c>
      <c r="P11" s="14">
        <f t="shared" si="1"/>
        <v>698.40860725048185</v>
      </c>
      <c r="Q11" s="14">
        <f t="shared" si="6"/>
        <v>1700.1187760691755</v>
      </c>
      <c r="R11" s="7">
        <f t="shared" si="8"/>
        <v>0.91172553428456327</v>
      </c>
    </row>
    <row r="12" spans="1:19" ht="16.5" thickTop="1" thickBot="1">
      <c r="A12" s="3" t="s">
        <v>44</v>
      </c>
      <c r="B12" s="6">
        <f>Capability!B12</f>
        <v>-5</v>
      </c>
      <c r="C12" s="1" t="s">
        <v>39</v>
      </c>
      <c r="D12" s="1">
        <f>B12+aux!C6</f>
        <v>6.25</v>
      </c>
      <c r="F12" s="16"/>
      <c r="H12" s="33">
        <f>'V_1,1pu_DIG'!H12</f>
        <v>1771476.2279530135</v>
      </c>
      <c r="I12" s="8">
        <f t="shared" si="3"/>
        <v>4358651.2207011972</v>
      </c>
      <c r="J12" s="12">
        <f t="shared" si="4"/>
        <v>755.72550647039918</v>
      </c>
      <c r="K12" s="1">
        <f t="shared" si="5"/>
        <v>684766.28080221266</v>
      </c>
      <c r="L12" s="1">
        <f t="shared" si="7"/>
        <v>684766.28080221266</v>
      </c>
      <c r="M12" s="14">
        <f t="shared" si="0"/>
        <v>1771.4762279530134</v>
      </c>
      <c r="N12" s="14">
        <f t="shared" si="0"/>
        <v>4358.6512207011974</v>
      </c>
      <c r="O12" s="14">
        <f t="shared" si="2"/>
        <v>1090.6874742526709</v>
      </c>
      <c r="P12" s="14">
        <f t="shared" si="1"/>
        <v>684.76628080221269</v>
      </c>
      <c r="Q12" s="14">
        <f t="shared" si="6"/>
        <v>1899.2190198937908</v>
      </c>
      <c r="R12" s="7">
        <f t="shared" si="8"/>
        <v>0.93273930462853039</v>
      </c>
    </row>
    <row r="13" spans="1:19" ht="16.5" thickTop="1" thickBot="1">
      <c r="A13" s="3" t="s">
        <v>42</v>
      </c>
      <c r="B13" s="19">
        <f>Capability!B13</f>
        <v>1130</v>
      </c>
      <c r="C13" s="1" t="s">
        <v>48</v>
      </c>
      <c r="D13" s="1">
        <f>IF(B13&gt;1250,1250,IF(B13&lt;B3*1.43,B3*1.43,B13))</f>
        <v>1130</v>
      </c>
      <c r="F13" s="16"/>
      <c r="H13" s="33">
        <f>'V_1,1pu_DIG'!H13</f>
        <v>1992910.7564471401</v>
      </c>
      <c r="I13" s="8">
        <f t="shared" si="3"/>
        <v>4249376.5441113301</v>
      </c>
      <c r="J13" s="12">
        <f t="shared" si="4"/>
        <v>753.37370846935778</v>
      </c>
      <c r="K13" s="1">
        <f t="shared" si="5"/>
        <v>669296.62417725474</v>
      </c>
      <c r="L13" s="1">
        <f t="shared" si="7"/>
        <v>669296.62417725474</v>
      </c>
      <c r="M13" s="14">
        <f t="shared" si="0"/>
        <v>1992.9107564471401</v>
      </c>
      <c r="N13" s="14">
        <f t="shared" si="0"/>
        <v>4249.3765441113301</v>
      </c>
      <c r="O13" s="14">
        <f t="shared" si="2"/>
        <v>1087.3244031111815</v>
      </c>
      <c r="P13" s="14">
        <f t="shared" si="1"/>
        <v>669.29662417725478</v>
      </c>
      <c r="Q13" s="14">
        <f t="shared" si="6"/>
        <v>2102.2966618195878</v>
      </c>
      <c r="R13" s="7">
        <f t="shared" si="8"/>
        <v>0.94796837793683619</v>
      </c>
    </row>
    <row r="14" spans="1:19" ht="16.5" thickTop="1" thickBot="1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H14" s="33">
        <f>'V_1,1pu_DIG'!H14</f>
        <v>2214345.2849412668</v>
      </c>
      <c r="I14" s="8">
        <f t="shared" si="3"/>
        <v>4123358.9871234312</v>
      </c>
      <c r="J14" s="12">
        <f t="shared" si="4"/>
        <v>750.65242393124049</v>
      </c>
      <c r="K14" s="1">
        <f t="shared" si="5"/>
        <v>651996.48677220382</v>
      </c>
      <c r="L14" s="1">
        <f t="shared" si="7"/>
        <v>651996.48677220382</v>
      </c>
      <c r="M14" s="14">
        <f t="shared" si="0"/>
        <v>2214.345284941267</v>
      </c>
      <c r="N14" s="14">
        <f t="shared" si="0"/>
        <v>4123.3589871234308</v>
      </c>
      <c r="O14" s="14">
        <f t="shared" si="2"/>
        <v>1083.432966221674</v>
      </c>
      <c r="P14" s="14">
        <f t="shared" si="1"/>
        <v>651.99648677220387</v>
      </c>
      <c r="Q14" s="14">
        <f t="shared" si="6"/>
        <v>2308.3380297748677</v>
      </c>
      <c r="R14" s="7">
        <f t="shared" si="8"/>
        <v>0.95928120421653851</v>
      </c>
    </row>
    <row r="15" spans="1:19" ht="16.5" thickTop="1" thickBot="1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H15" s="33">
        <f>'V_1,1pu_DIG'!H15</f>
        <v>2435779.8134353934</v>
      </c>
      <c r="I15" s="8">
        <f t="shared" si="3"/>
        <v>3978784.7601895761</v>
      </c>
      <c r="J15" s="12">
        <f t="shared" si="4"/>
        <v>747.51821548024145</v>
      </c>
      <c r="K15" s="1">
        <f t="shared" si="5"/>
        <v>632862.33659604192</v>
      </c>
      <c r="L15" s="1">
        <f t="shared" si="7"/>
        <v>632862.33659604192</v>
      </c>
      <c r="M15" s="14">
        <f t="shared" si="0"/>
        <v>2435.7798134353934</v>
      </c>
      <c r="N15" s="14">
        <f t="shared" si="0"/>
        <v>3978.784760189576</v>
      </c>
      <c r="O15" s="14">
        <f t="shared" si="2"/>
        <v>1078.9510481367452</v>
      </c>
      <c r="P15" s="14">
        <f t="shared" si="1"/>
        <v>632.86233659604193</v>
      </c>
      <c r="Q15" s="14">
        <f t="shared" si="6"/>
        <v>2516.6521485142043</v>
      </c>
      <c r="R15" s="7">
        <f t="shared" si="8"/>
        <v>0.96786511193986158</v>
      </c>
    </row>
    <row r="16" spans="1:19" ht="16.5" thickTop="1" thickBot="1">
      <c r="A16" s="21" t="s">
        <v>50</v>
      </c>
      <c r="B16" s="20">
        <f>B14*B15</f>
        <v>1.1831619047619049</v>
      </c>
      <c r="F16" s="16"/>
      <c r="H16" s="33">
        <f>'V_1,1pu_DIG'!H16</f>
        <v>2657214.34192952</v>
      </c>
      <c r="I16" s="8">
        <f t="shared" si="3"/>
        <v>3813232.9219259601</v>
      </c>
      <c r="J16" s="12">
        <f t="shared" si="4"/>
        <v>743.91301804137674</v>
      </c>
      <c r="K16" s="1">
        <f t="shared" si="5"/>
        <v>611890.25663457066</v>
      </c>
      <c r="L16" s="1">
        <f t="shared" si="7"/>
        <v>611890.25663457066</v>
      </c>
      <c r="M16" s="14">
        <f t="shared" si="0"/>
        <v>2657.2143419295198</v>
      </c>
      <c r="N16" s="14">
        <f t="shared" si="0"/>
        <v>3813.23292192596</v>
      </c>
      <c r="O16" s="14">
        <f t="shared" si="2"/>
        <v>1073.7956157991687</v>
      </c>
      <c r="P16" s="14">
        <f t="shared" si="1"/>
        <v>611.89025663457062</v>
      </c>
      <c r="Q16" s="14">
        <f t="shared" si="6"/>
        <v>2726.7559012717388</v>
      </c>
      <c r="R16" s="7">
        <f t="shared" si="8"/>
        <v>0.97449659527287158</v>
      </c>
    </row>
    <row r="17" spans="1:18" ht="16.5" thickTop="1" thickBot="1">
      <c r="A17" s="21"/>
      <c r="B17" s="20"/>
      <c r="F17" s="16"/>
      <c r="H17" s="33">
        <f>'V_1,1pu_DIG'!H17</f>
        <v>2878648.8704236466</v>
      </c>
      <c r="I17" s="8">
        <f t="shared" si="3"/>
        <v>3623380.2572466172</v>
      </c>
      <c r="J17" s="12">
        <f t="shared" si="4"/>
        <v>739.75699776810211</v>
      </c>
      <c r="K17" s="1">
        <f t="shared" si="5"/>
        <v>589075.94080042653</v>
      </c>
      <c r="L17" s="1">
        <f t="shared" si="7"/>
        <v>589075.94080042653</v>
      </c>
      <c r="M17" s="14">
        <f t="shared" si="0"/>
        <v>2878.6488704236467</v>
      </c>
      <c r="N17" s="14">
        <f t="shared" si="0"/>
        <v>3623.380257246617</v>
      </c>
      <c r="O17" s="14">
        <f t="shared" si="2"/>
        <v>1067.8525068083859</v>
      </c>
      <c r="P17" s="14">
        <f t="shared" si="1"/>
        <v>589.07594080042657</v>
      </c>
      <c r="Q17" s="14">
        <f t="shared" si="6"/>
        <v>2938.3038956549822</v>
      </c>
      <c r="R17" s="7">
        <f t="shared" si="8"/>
        <v>0.97969746243077505</v>
      </c>
    </row>
    <row r="18" spans="1:18" ht="20.25" thickTop="1" thickBot="1">
      <c r="A18" s="23" t="s">
        <v>53</v>
      </c>
      <c r="B18" s="24">
        <f>MIN(B16,B11)</f>
        <v>1.1831619047619049</v>
      </c>
      <c r="F18" s="16"/>
      <c r="H18" s="33">
        <f>'V_1,1pu_DIG'!H18</f>
        <v>3100083.3989177733</v>
      </c>
      <c r="I18" s="8">
        <f t="shared" si="3"/>
        <v>3404481.7898251321</v>
      </c>
      <c r="J18" s="12">
        <f t="shared" si="4"/>
        <v>734.93597268425287</v>
      </c>
      <c r="K18" s="1">
        <f t="shared" si="5"/>
        <v>564414.68945881538</v>
      </c>
      <c r="L18" s="1">
        <f t="shared" si="7"/>
        <v>564414.68945881538</v>
      </c>
      <c r="M18" s="14">
        <f t="shared" si="0"/>
        <v>3100.0833989177731</v>
      </c>
      <c r="N18" s="14">
        <f t="shared" si="0"/>
        <v>3404.4817898251322</v>
      </c>
      <c r="O18" s="14">
        <f t="shared" si="2"/>
        <v>1060.9584409384815</v>
      </c>
      <c r="P18" s="14">
        <f t="shared" si="1"/>
        <v>564.41468945881536</v>
      </c>
      <c r="Q18" s="14">
        <f t="shared" si="6"/>
        <v>3151.0444335049392</v>
      </c>
      <c r="R18" s="7">
        <f t="shared" si="8"/>
        <v>0.98382725611695621</v>
      </c>
    </row>
    <row r="19" spans="1:18" ht="16.5" thickTop="1" thickBot="1">
      <c r="A19" s="21"/>
      <c r="B19" s="20"/>
      <c r="F19" s="16"/>
      <c r="H19" s="33">
        <f>'V_1,1pu_DIG'!H19</f>
        <v>3321517.9274118999</v>
      </c>
      <c r="I19" s="8">
        <f t="shared" si="3"/>
        <v>3149374.8957369821</v>
      </c>
      <c r="J19" s="12">
        <f t="shared" si="4"/>
        <v>729.27727956154399</v>
      </c>
      <c r="K19" s="1">
        <f t="shared" si="5"/>
        <v>537901.40451786853</v>
      </c>
      <c r="L19" s="1">
        <f t="shared" si="7"/>
        <v>537901.40451786853</v>
      </c>
      <c r="M19" s="14">
        <f t="shared" si="0"/>
        <v>3321.5179274119</v>
      </c>
      <c r="N19" s="14">
        <f t="shared" si="0"/>
        <v>3149.3748957369821</v>
      </c>
      <c r="O19" s="14">
        <f t="shared" si="2"/>
        <v>1052.8665097730079</v>
      </c>
      <c r="P19" s="14">
        <f t="shared" si="1"/>
        <v>537.90140451786851</v>
      </c>
      <c r="Q19" s="14">
        <f t="shared" si="6"/>
        <v>3364.7911173059374</v>
      </c>
      <c r="R19" s="7">
        <f t="shared" si="8"/>
        <v>0.98713941270485617</v>
      </c>
    </row>
    <row r="20" spans="1:18" ht="16.5" thickTop="1" thickBot="1">
      <c r="A20" s="21" t="s">
        <v>36</v>
      </c>
      <c r="B20" s="4">
        <f>(D8-10)/1.43</f>
        <v>658.39160839160843</v>
      </c>
      <c r="F20" s="16"/>
      <c r="H20" s="33">
        <f>'V_1,1pu_DIG'!H20</f>
        <v>3542952.4559060265</v>
      </c>
      <c r="I20" s="8">
        <f t="shared" si="3"/>
        <v>2846328.8489187472</v>
      </c>
      <c r="J20" s="12">
        <f t="shared" si="4"/>
        <v>722.49762418011915</v>
      </c>
      <c r="K20" s="1">
        <f t="shared" si="5"/>
        <v>509530.58407170698</v>
      </c>
      <c r="L20" s="1">
        <f t="shared" si="7"/>
        <v>509530.58407170698</v>
      </c>
      <c r="M20" s="14">
        <f t="shared" si="0"/>
        <v>3542.9524559060264</v>
      </c>
      <c r="N20" s="14">
        <f t="shared" si="0"/>
        <v>2846.3288489187471</v>
      </c>
      <c r="O20" s="14">
        <f t="shared" si="2"/>
        <v>1043.1716025775704</v>
      </c>
      <c r="P20" s="14">
        <f t="shared" si="1"/>
        <v>509.53058407170698</v>
      </c>
      <c r="Q20" s="14">
        <f t="shared" si="6"/>
        <v>3579.4040734338723</v>
      </c>
      <c r="R20" s="7">
        <f t="shared" si="8"/>
        <v>0.98981628875086003</v>
      </c>
    </row>
    <row r="21" spans="1:18" ht="16.5" thickTop="1" thickBot="1">
      <c r="A21" s="21" t="s">
        <v>34</v>
      </c>
      <c r="B21" s="5">
        <f>IF(B25=1,(IF(B9*B10&gt;B18,B18,B9*B10))*Ii_r,B26)</f>
        <v>1242.3200000000002</v>
      </c>
      <c r="F21" s="16"/>
      <c r="H21" s="33">
        <f>'V_1,1pu_DIG'!H21</f>
        <v>3598311.0880295583</v>
      </c>
      <c r="I21" s="8">
        <f t="shared" si="3"/>
        <v>2760895.5903508579</v>
      </c>
      <c r="J21" s="12">
        <f t="shared" si="4"/>
        <v>720.57481086626331</v>
      </c>
      <c r="K21" s="1">
        <f t="shared" si="5"/>
        <v>502146.95536770858</v>
      </c>
      <c r="L21" s="1">
        <f t="shared" si="7"/>
        <v>502146.95536770858</v>
      </c>
      <c r="M21" s="14">
        <f t="shared" si="0"/>
        <v>3598.3110880295585</v>
      </c>
      <c r="N21" s="14">
        <f t="shared" si="0"/>
        <v>2760.8955903508581</v>
      </c>
      <c r="O21" s="14">
        <f t="shared" si="2"/>
        <v>1040.4219795387564</v>
      </c>
      <c r="P21" s="14">
        <f t="shared" si="1"/>
        <v>502.14695536770859</v>
      </c>
      <c r="Q21" s="14">
        <f t="shared" si="6"/>
        <v>3633.1796337397805</v>
      </c>
      <c r="R21" s="7">
        <f t="shared" si="8"/>
        <v>0.99040274656765859</v>
      </c>
    </row>
    <row r="22" spans="1:18" ht="20.25" thickTop="1" thickBot="1">
      <c r="A22" s="21" t="s">
        <v>59</v>
      </c>
      <c r="B22" s="1">
        <f>Nm*SQRT(3)*B3*Ii/K_3^2</f>
        <v>4267647.2764322609</v>
      </c>
      <c r="C22" s="25" t="s">
        <v>74</v>
      </c>
      <c r="D22" s="26">
        <f>B22/1000</f>
        <v>4267.6472764322607</v>
      </c>
      <c r="F22" s="16"/>
      <c r="H22" s="33">
        <f>'V_1,1pu_DIG'!H22</f>
        <v>3653669.7201530901</v>
      </c>
      <c r="I22" s="8">
        <f t="shared" si="3"/>
        <v>2670715.3448302513</v>
      </c>
      <c r="J22" s="12">
        <f t="shared" si="4"/>
        <v>718.5395767289067</v>
      </c>
      <c r="K22" s="1">
        <f t="shared" si="5"/>
        <v>494646.76684863679</v>
      </c>
      <c r="L22" s="1">
        <f t="shared" si="7"/>
        <v>494646.76684863679</v>
      </c>
      <c r="M22" s="14">
        <f t="shared" si="0"/>
        <v>3653.6697201530901</v>
      </c>
      <c r="N22" s="14">
        <f t="shared" si="0"/>
        <v>2670.7153448302515</v>
      </c>
      <c r="O22" s="14">
        <f t="shared" si="2"/>
        <v>1037.5115947223364</v>
      </c>
      <c r="P22" s="14">
        <f t="shared" si="1"/>
        <v>494.64676684863679</v>
      </c>
      <c r="Q22" s="14">
        <f t="shared" si="6"/>
        <v>3687.0011998801097</v>
      </c>
      <c r="R22" s="7">
        <f t="shared" si="8"/>
        <v>0.99095973179284469</v>
      </c>
    </row>
    <row r="23" spans="1:18" ht="20.25" thickTop="1" thickBot="1">
      <c r="A23" s="21" t="s">
        <v>51</v>
      </c>
      <c r="B23" s="1">
        <f>B3*Ii*SQRT(3)*Nm</f>
        <v>4242412.695914981</v>
      </c>
      <c r="C23" s="25" t="s">
        <v>52</v>
      </c>
      <c r="D23" s="26">
        <f>B23/1000</f>
        <v>4242.4126959149808</v>
      </c>
      <c r="F23" s="16"/>
      <c r="H23" s="33">
        <f>'V_1,1pu_DIG'!H23</f>
        <v>3709028.3522766219</v>
      </c>
      <c r="I23" s="8">
        <f t="shared" si="3"/>
        <v>2575172.3255951293</v>
      </c>
      <c r="J23" s="12">
        <f t="shared" si="4"/>
        <v>716.37700467093146</v>
      </c>
      <c r="K23" s="1">
        <f t="shared" si="5"/>
        <v>487029.92047818191</v>
      </c>
      <c r="L23" s="1">
        <f t="shared" si="7"/>
        <v>487029.92047818191</v>
      </c>
      <c r="M23" s="14">
        <f t="shared" si="0"/>
        <v>3709.0283522766217</v>
      </c>
      <c r="N23" s="14">
        <f t="shared" si="0"/>
        <v>2575.1723255951292</v>
      </c>
      <c r="O23" s="14">
        <f t="shared" si="2"/>
        <v>1034.4191166794319</v>
      </c>
      <c r="P23" s="14">
        <f t="shared" si="1"/>
        <v>487.02992047818191</v>
      </c>
      <c r="Q23" s="14">
        <f t="shared" si="6"/>
        <v>3740.8674744546638</v>
      </c>
      <c r="R23" s="7">
        <f t="shared" si="8"/>
        <v>0.99148883984918934</v>
      </c>
    </row>
    <row r="24" spans="1:18" ht="16.5" thickTop="1" thickBot="1">
      <c r="A24" s="27"/>
      <c r="F24" s="16"/>
      <c r="H24" s="33">
        <f>'V_1,1pu_DIG'!H24</f>
        <v>3764386.9844001536</v>
      </c>
      <c r="I24" s="8">
        <f t="shared" si="3"/>
        <v>2473491.7507532118</v>
      </c>
      <c r="J24" s="12">
        <f t="shared" si="4"/>
        <v>714.06831791757702</v>
      </c>
      <c r="K24" s="1">
        <f t="shared" si="5"/>
        <v>479296.31658262387</v>
      </c>
      <c r="L24" s="1">
        <f t="shared" si="7"/>
        <v>479296.31658262387</v>
      </c>
      <c r="M24" s="14">
        <f t="shared" si="0"/>
        <v>3764.3869844001538</v>
      </c>
      <c r="N24" s="14">
        <f t="shared" si="0"/>
        <v>2473.4917507532118</v>
      </c>
      <c r="O24" s="14">
        <f t="shared" si="2"/>
        <v>1031.1176946221351</v>
      </c>
      <c r="P24" s="14">
        <f t="shared" si="1"/>
        <v>479.29631658262389</v>
      </c>
      <c r="Q24" s="14">
        <f t="shared" si="6"/>
        <v>3794.7772434506551</v>
      </c>
      <c r="R24" s="7">
        <f t="shared" si="8"/>
        <v>0.991991556526025</v>
      </c>
    </row>
    <row r="25" spans="1:18" ht="16.5" thickTop="1" thickBot="1">
      <c r="A25" s="3" t="s">
        <v>38</v>
      </c>
      <c r="B25" s="6">
        <f>Capability!B25</f>
        <v>1</v>
      </c>
      <c r="F25" s="16"/>
      <c r="H25" s="33">
        <f>'V_1,1pu_DIG'!H25</f>
        <v>3819745.6165236854</v>
      </c>
      <c r="I25" s="8">
        <f t="shared" si="3"/>
        <v>2364675.2374125351</v>
      </c>
      <c r="J25" s="12">
        <f t="shared" si="4"/>
        <v>711.58931039683398</v>
      </c>
      <c r="K25" s="1">
        <f t="shared" si="5"/>
        <v>471445.85384414345</v>
      </c>
      <c r="L25" s="1">
        <f t="shared" si="7"/>
        <v>471445.85384414345</v>
      </c>
      <c r="M25" s="14">
        <f t="shared" si="0"/>
        <v>3819.7456165236854</v>
      </c>
      <c r="N25" s="14">
        <f t="shared" si="0"/>
        <v>2364.6752374125349</v>
      </c>
      <c r="O25" s="14">
        <f t="shared" si="2"/>
        <v>1027.5727138674724</v>
      </c>
      <c r="P25" s="14">
        <f t="shared" si="1"/>
        <v>471.44585384414347</v>
      </c>
      <c r="Q25" s="14">
        <f t="shared" si="6"/>
        <v>3848.7293705921625</v>
      </c>
      <c r="R25" s="7">
        <f t="shared" si="8"/>
        <v>0.99246926679492209</v>
      </c>
    </row>
    <row r="26" spans="1:18" ht="16.5" thickTop="1" thickBot="1">
      <c r="A26" s="3" t="s">
        <v>25</v>
      </c>
      <c r="B26" s="6">
        <f>Capability!B26</f>
        <v>1250</v>
      </c>
      <c r="F26" s="16"/>
      <c r="H26" s="33">
        <f>'V_1,1pu_DIG'!H26</f>
        <v>3875104.2486472172</v>
      </c>
      <c r="I26" s="8">
        <f t="shared" si="3"/>
        <v>2247397.7838191036</v>
      </c>
      <c r="J26" s="12">
        <f t="shared" si="4"/>
        <v>708.90784349904322</v>
      </c>
      <c r="K26" s="1">
        <f t="shared" si="5"/>
        <v>463478.42929404415</v>
      </c>
      <c r="L26" s="1">
        <f t="shared" si="7"/>
        <v>463478.42929404415</v>
      </c>
      <c r="M26" s="14">
        <f t="shared" si="0"/>
        <v>3875.104248647217</v>
      </c>
      <c r="N26" s="14">
        <f t="shared" si="0"/>
        <v>2247.3977838191036</v>
      </c>
      <c r="O26" s="14">
        <f t="shared" si="2"/>
        <v>1023.7382162036317</v>
      </c>
      <c r="P26" s="14">
        <f t="shared" si="1"/>
        <v>463.47842929404413</v>
      </c>
      <c r="Q26" s="14">
        <f t="shared" si="6"/>
        <v>3902.7227921419922</v>
      </c>
      <c r="R26" s="7">
        <f t="shared" si="8"/>
        <v>0.99292326281785004</v>
      </c>
    </row>
    <row r="27" spans="1:18" ht="16.5" thickTop="1" thickBot="1">
      <c r="A27" s="27"/>
      <c r="F27" s="16"/>
      <c r="H27" s="33">
        <f>'V_1,1pu_DIG'!H27</f>
        <v>3930462.8807707489</v>
      </c>
      <c r="I27" s="8">
        <f t="shared" si="3"/>
        <v>2119834.0253281095</v>
      </c>
      <c r="J27" s="12">
        <f t="shared" si="4"/>
        <v>705.97962360256361</v>
      </c>
      <c r="K27" s="1">
        <f t="shared" si="5"/>
        <v>455393.93830577843</v>
      </c>
      <c r="L27" s="1">
        <f t="shared" si="7"/>
        <v>455393.93830577843</v>
      </c>
      <c r="M27" s="14">
        <f t="shared" si="0"/>
        <v>3930.4628807707491</v>
      </c>
      <c r="N27" s="14">
        <f t="shared" si="0"/>
        <v>2119.8340253281094</v>
      </c>
      <c r="O27" s="14">
        <f t="shared" si="2"/>
        <v>1019.5508617516659</v>
      </c>
      <c r="P27" s="14">
        <f t="shared" si="1"/>
        <v>455.39393830577842</v>
      </c>
      <c r="Q27" s="14">
        <f t="shared" si="6"/>
        <v>3956.7565121147322</v>
      </c>
      <c r="R27" s="7">
        <f t="shared" si="8"/>
        <v>0.99335475123033778</v>
      </c>
    </row>
    <row r="28" spans="1:18" ht="16.5" thickTop="1" thickBot="1">
      <c r="A28" s="27" t="s">
        <v>73</v>
      </c>
      <c r="F28" s="16"/>
      <c r="H28" s="33">
        <f>'V_1,1pu_DIG'!H28</f>
        <v>3985821.5128942807</v>
      </c>
      <c r="I28" s="8">
        <f t="shared" si="3"/>
        <v>1979343.3273211876</v>
      </c>
      <c r="J28" s="12">
        <f t="shared" si="4"/>
        <v>702.74054775907177</v>
      </c>
      <c r="K28" s="1">
        <f t="shared" si="5"/>
        <v>447192.27458792925</v>
      </c>
      <c r="L28" s="1">
        <f t="shared" si="7"/>
        <v>447192.27458792925</v>
      </c>
      <c r="M28" s="14">
        <f t="shared" si="0"/>
        <v>3985.8215128942807</v>
      </c>
      <c r="N28" s="14">
        <f t="shared" si="0"/>
        <v>1979.3433273211876</v>
      </c>
      <c r="O28" s="14">
        <f t="shared" si="2"/>
        <v>1014.9189832954726</v>
      </c>
      <c r="P28" s="14">
        <f t="shared" si="1"/>
        <v>447.19227458792926</v>
      </c>
      <c r="Q28" s="14">
        <f t="shared" si="6"/>
        <v>4010.8295978640103</v>
      </c>
      <c r="R28" s="7">
        <f t="shared" si="8"/>
        <v>0.99376485977288886</v>
      </c>
    </row>
    <row r="29" spans="1:18" ht="16.5" thickTop="1" thickBot="1">
      <c r="A29" s="3" t="s">
        <v>54</v>
      </c>
      <c r="B29" s="6">
        <f>Capability!B29</f>
        <v>2846</v>
      </c>
      <c r="C29" s="2">
        <f>IF(B29&gt;D23,D23,B29)</f>
        <v>2846</v>
      </c>
      <c r="F29" s="16"/>
      <c r="H29" s="33">
        <f>'V_1,1pu_DIG'!H29</f>
        <v>4041180.1450178125</v>
      </c>
      <c r="I29" s="8">
        <f t="shared" si="3"/>
        <v>1821841.3270388211</v>
      </c>
      <c r="J29" s="12">
        <f t="shared" si="4"/>
        <v>699.09142567979768</v>
      </c>
      <c r="K29" s="1">
        <f t="shared" si="5"/>
        <v>438873.33017700166</v>
      </c>
      <c r="L29" s="1">
        <f t="shared" si="7"/>
        <v>438873.33017700166</v>
      </c>
      <c r="M29" s="14">
        <f t="shared" si="0"/>
        <v>4041.1801450178127</v>
      </c>
      <c r="N29" s="14">
        <f t="shared" si="0"/>
        <v>1821.841327038821</v>
      </c>
      <c r="O29" s="14">
        <f t="shared" si="2"/>
        <v>1009.7007387221106</v>
      </c>
      <c r="P29" s="14">
        <f t="shared" si="1"/>
        <v>438.87333017700166</v>
      </c>
      <c r="Q29" s="14">
        <f t="shared" si="6"/>
        <v>4064.9411760106491</v>
      </c>
      <c r="R29" s="7">
        <f t="shared" si="8"/>
        <v>0.99415464333578485</v>
      </c>
    </row>
    <row r="30" spans="1:18" ht="16.5" thickTop="1" thickBot="1">
      <c r="A30" s="27"/>
      <c r="B30" s="1" t="s">
        <v>69</v>
      </c>
      <c r="C30" s="1">
        <f xml:space="preserve"> Nm/1000*(-SQRT(3/K_3^2*Ii^2*B3^2-($C$29*1000/Nm)^2)+B3^2*K_4/K_3)</f>
        <v>-2673.2007365987738</v>
      </c>
      <c r="F30" s="16"/>
      <c r="H30" s="33">
        <f>'V_1,1pu_DIG'!H30</f>
        <v>4096538.7771413443</v>
      </c>
      <c r="I30" s="8">
        <f t="shared" si="3"/>
        <v>1640362.215556988</v>
      </c>
      <c r="J30" s="12">
        <f t="shared" si="4"/>
        <v>694.86302297130817</v>
      </c>
      <c r="K30" s="1">
        <f t="shared" si="5"/>
        <v>430436.99543012492</v>
      </c>
      <c r="L30" s="1">
        <f t="shared" si="7"/>
        <v>430436.99543012492</v>
      </c>
      <c r="M30" s="14">
        <f t="shared" si="0"/>
        <v>4096.5387771413443</v>
      </c>
      <c r="N30" s="14">
        <f t="shared" si="0"/>
        <v>1640.3622155569881</v>
      </c>
      <c r="O30" s="14">
        <f t="shared" si="2"/>
        <v>1003.6541228489706</v>
      </c>
      <c r="P30" s="14">
        <f t="shared" si="1"/>
        <v>430.43699543012491</v>
      </c>
      <c r="Q30" s="14">
        <f t="shared" si="6"/>
        <v>4119.0904286817513</v>
      </c>
      <c r="R30" s="7">
        <f t="shared" si="8"/>
        <v>0.99452508947524509</v>
      </c>
    </row>
    <row r="31" spans="1:18" ht="16.5" thickTop="1" thickBot="1">
      <c r="A31" s="27"/>
      <c r="B31" s="1" t="s">
        <v>68</v>
      </c>
      <c r="C31" s="1">
        <f>IF(ABS( Nm/1000*(SQRT(3/K_3^2*Ii^2*B3^2-($C$29*1000/Nm)^2)+B3^2*K_4/K_3))&lt;ABS(Nm/1000*(SQRT(Vi^2*B3^2/K_2^2-($C$29*1000/Nm)^2)-B3^2*K_1/K_2)),Nm/1000*(SQRT(3/K_3^2*Ii^2*B3^2-($C$29*1000/Nm)^2)+B3^2*K_4/K_3), Nm/1000*(SQRT(Vi^2*B3^2/K_2^2-($C$29*1000/Nm)^2)-B3^2*K_1/K_2))</f>
        <v>592.55570708922858</v>
      </c>
      <c r="F31" s="16"/>
      <c r="H31" s="33">
        <f>'V_1,1pu_DIG'!H31</f>
        <v>4151897.409264876</v>
      </c>
      <c r="I31" s="8">
        <f t="shared" si="3"/>
        <v>1420989.3529966541</v>
      </c>
      <c r="J31" s="12">
        <f t="shared" si="4"/>
        <v>689.71710227207268</v>
      </c>
      <c r="K31" s="1">
        <f t="shared" si="5"/>
        <v>421883.1590176262</v>
      </c>
      <c r="L31" s="1">
        <f t="shared" si="7"/>
        <v>421883.1590176262</v>
      </c>
      <c r="M31" s="14">
        <f t="shared" si="0"/>
        <v>4151.8974092648759</v>
      </c>
      <c r="N31" s="14">
        <f t="shared" si="0"/>
        <v>1420.9893529966541</v>
      </c>
      <c r="O31" s="14">
        <f t="shared" si="2"/>
        <v>996.29545624906393</v>
      </c>
      <c r="P31" s="14">
        <f t="shared" si="1"/>
        <v>421.88315901762621</v>
      </c>
      <c r="Q31" s="14">
        <f t="shared" si="6"/>
        <v>4173.2765900336726</v>
      </c>
      <c r="R31" s="7">
        <f t="shared" si="8"/>
        <v>0.99487712345262402</v>
      </c>
    </row>
    <row r="32" spans="1:18" ht="16.5" thickTop="1" thickBot="1">
      <c r="A32" s="3" t="s">
        <v>55</v>
      </c>
      <c r="B32" s="6">
        <f>Capability!B32</f>
        <v>0</v>
      </c>
      <c r="C32" s="2">
        <f>IF(B32&lt;C30,C30,IF(B32&gt;C31,C31,B32))</f>
        <v>0</v>
      </c>
      <c r="F32" s="16"/>
      <c r="H32" s="33">
        <f>'V_1,1pu_DIG'!H32</f>
        <v>4207256.0413884073</v>
      </c>
      <c r="I32" s="8">
        <f t="shared" si="3"/>
        <v>1125633.8494395402</v>
      </c>
      <c r="J32" s="12">
        <f t="shared" si="4"/>
        <v>682.7275637248149</v>
      </c>
      <c r="K32" s="1">
        <f t="shared" si="5"/>
        <v>413211.70791543648</v>
      </c>
      <c r="L32" s="1">
        <f t="shared" si="7"/>
        <v>413211.70791543648</v>
      </c>
      <c r="M32" s="14">
        <f t="shared" si="0"/>
        <v>4207.2560413884075</v>
      </c>
      <c r="N32" s="14">
        <f t="shared" si="0"/>
        <v>1125.6338494395402</v>
      </c>
      <c r="O32" s="14">
        <f t="shared" si="2"/>
        <v>986.30041612648529</v>
      </c>
      <c r="P32" s="14">
        <f t="shared" si="1"/>
        <v>413.21170791543648</v>
      </c>
      <c r="Q32" s="14">
        <f t="shared" si="6"/>
        <v>4227.4989430344795</v>
      </c>
      <c r="R32" s="7">
        <f t="shared" si="8"/>
        <v>0.99521161284276005</v>
      </c>
    </row>
    <row r="33" spans="1:18" ht="16.5" thickTop="1" thickBot="1">
      <c r="A33" s="21" t="s">
        <v>56</v>
      </c>
      <c r="B33" s="1">
        <f>C29/SQRT(C29^2+C32^2)</f>
        <v>1</v>
      </c>
      <c r="C33" s="1" t="s">
        <v>60</v>
      </c>
      <c r="D33" s="1">
        <f>SQRT(C29^2+C32^2)/(SQRT(3)*B3)*1000</f>
        <v>2500.2112996251903</v>
      </c>
      <c r="F33" s="16"/>
      <c r="H33" s="33">
        <f>'V_1,1pu_DIG'!H33</f>
        <v>4262614.6735119391</v>
      </c>
      <c r="I33" s="8">
        <f t="shared" si="3"/>
        <v>489931.41164024908</v>
      </c>
      <c r="J33" s="12">
        <f t="shared" si="4"/>
        <v>667.46495300688684</v>
      </c>
      <c r="K33" s="1">
        <f t="shared" si="5"/>
        <v>404422.52739741281</v>
      </c>
      <c r="L33" s="1">
        <f t="shared" si="7"/>
        <v>404422.52739741281</v>
      </c>
      <c r="M33" s="14">
        <f t="shared" si="0"/>
        <v>4262.6146735119391</v>
      </c>
      <c r="N33" s="14">
        <f t="shared" si="0"/>
        <v>489.93141164024905</v>
      </c>
      <c r="O33" s="14">
        <f t="shared" si="2"/>
        <v>964.47488279984816</v>
      </c>
      <c r="P33" s="14">
        <f t="shared" si="1"/>
        <v>404.42252739741281</v>
      </c>
      <c r="Q33" s="14">
        <f t="shared" si="6"/>
        <v>4281.7568164838376</v>
      </c>
      <c r="R33" s="7">
        <f t="shared" si="8"/>
        <v>0.99552937175268685</v>
      </c>
    </row>
    <row r="34" spans="1:18" ht="20.25" thickTop="1" thickBot="1">
      <c r="A34" s="23" t="s">
        <v>57</v>
      </c>
      <c r="B34" s="25">
        <f>Vdc_offset+Vac_to_Vdc*SQRT(3)*SQRT(K_1^2*B3^2/3+K_2^2/3*($C$29^2+$C$32^2)*1000^2/B3^2/Nm^2+2/3*K_1*K_2*$C$32*1000/Nm)</f>
        <v>940.74278846103039</v>
      </c>
      <c r="F34" s="16"/>
      <c r="H34" s="33">
        <f>'V_1,1pu_DIG'!H34</f>
        <v>4317973.3056354709</v>
      </c>
      <c r="I34" s="8">
        <f t="shared" si="3"/>
        <v>489931.41164024908</v>
      </c>
      <c r="J34" s="12">
        <f t="shared" si="4"/>
        <v>667.68089621297531</v>
      </c>
      <c r="K34" s="1">
        <f t="shared" si="5"/>
        <v>395515.50102749281</v>
      </c>
      <c r="L34" s="1">
        <f t="shared" si="7"/>
        <v>395515.50102749281</v>
      </c>
      <c r="M34" s="14">
        <f t="shared" si="0"/>
        <v>4317.9733056354708</v>
      </c>
      <c r="N34" s="14">
        <f t="shared" si="0"/>
        <v>489.93141164024905</v>
      </c>
      <c r="O34" s="14">
        <f t="shared" si="2"/>
        <v>964.78368158455464</v>
      </c>
      <c r="P34" s="14">
        <f t="shared" si="1"/>
        <v>395.5155010274928</v>
      </c>
      <c r="Q34" s="14">
        <f t="shared" si="6"/>
        <v>4336.0495822503626</v>
      </c>
      <c r="R34" s="7">
        <f t="shared" si="8"/>
        <v>0.99583116468757937</v>
      </c>
    </row>
    <row r="35" spans="1:18" ht="16.5" thickTop="1" thickBot="1">
      <c r="A35" s="21" t="s">
        <v>58</v>
      </c>
      <c r="B35" s="1">
        <f>SQRT(3)*SQRT(K_1^2*B3^2/3+K_2^2/3*($C$29^2+$C$32^2)*1000^2/B3^2/Nm^2+2/3*K_1*K_2*$C$32*1000/Nm)</f>
        <v>650.86908283988134</v>
      </c>
      <c r="F35" s="16"/>
      <c r="H35" s="33">
        <f>'V_1,1pu_DIG'!H35</f>
        <v>4373331.9377590027</v>
      </c>
      <c r="I35" s="8">
        <f t="shared" si="3"/>
        <v>489931.41164024908</v>
      </c>
      <c r="J35" s="12">
        <f t="shared" si="4"/>
        <v>667.89955460780163</v>
      </c>
      <c r="K35" s="1">
        <f t="shared" si="5"/>
        <v>386490.51065173745</v>
      </c>
      <c r="L35" s="1">
        <f t="shared" si="7"/>
        <v>386490.51065173745</v>
      </c>
      <c r="M35" s="14">
        <f t="shared" si="0"/>
        <v>4373.3319377590024</v>
      </c>
      <c r="N35" s="14">
        <f t="shared" si="0"/>
        <v>489.93141164024905</v>
      </c>
      <c r="O35" s="14">
        <f t="shared" si="2"/>
        <v>965.09636308915628</v>
      </c>
      <c r="P35" s="14">
        <f t="shared" si="1"/>
        <v>386.49051065173745</v>
      </c>
      <c r="Q35" s="14">
        <f t="shared" si="6"/>
        <v>4390.3766527083699</v>
      </c>
      <c r="R35" s="7">
        <f t="shared" si="8"/>
        <v>0.99611771009695649</v>
      </c>
    </row>
    <row r="36" spans="1:18" ht="16.5" thickTop="1" thickBot="1">
      <c r="F36" s="16"/>
      <c r="H36" s="33">
        <f>'V_1,1pu_DIG'!H36</f>
        <v>4428690.5698825344</v>
      </c>
      <c r="I36" s="8">
        <f t="shared" si="3"/>
        <v>489931.41164024908</v>
      </c>
      <c r="J36" s="12">
        <f t="shared" ref="J36:J67" si="9">SQRT(3)*SQRT(($B$3/SQRT(3)*K_1+SQRT(H36^2+I36^2)/SQRT(3)/$B$3/Nm*I36/SQRT(H36^2+I36^2)*K_2)^2+(SQRT(H36^2+I36^2)/SQRT(3)/$B$3/Nm*H36/SQRT(H36^2+I36^2)*K_2)^2)</f>
        <v>668.12092552553634</v>
      </c>
      <c r="K36" s="1">
        <f t="shared" si="5"/>
        <v>377347.43639022298</v>
      </c>
      <c r="L36" s="1">
        <f t="shared" si="7"/>
        <v>377347.43639022298</v>
      </c>
      <c r="M36" s="14">
        <f t="shared" si="0"/>
        <v>4428.6905698825349</v>
      </c>
      <c r="N36" s="14">
        <f t="shared" si="0"/>
        <v>489.93141164024905</v>
      </c>
      <c r="O36" s="14">
        <f t="shared" si="2"/>
        <v>965.41292350151696</v>
      </c>
      <c r="P36" s="14">
        <f t="shared" si="1"/>
        <v>377.34743639022298</v>
      </c>
      <c r="Q36" s="14">
        <f t="shared" si="6"/>
        <v>4444.7374783576097</v>
      </c>
      <c r="R36" s="7">
        <f t="shared" si="8"/>
        <v>0.99638968363076319</v>
      </c>
    </row>
    <row r="37" spans="1:18" ht="16.5" thickTop="1" thickBot="1">
      <c r="F37" s="16"/>
      <c r="H37" s="33">
        <f>'V_1,1pu_DIG'!H37</f>
        <v>4373331.9377590027</v>
      </c>
      <c r="I37" s="8">
        <f t="shared" ref="I37:I68" si="10">Nm*(-SQRT(IF(3/K_3^2*Ii^2*$B$3^2-(H37/Nm)^2&lt;0.0000000001,0,3/K_3^2*Ii^2*$B$3^2-(H37/Nm)^2))+$B$3^2/K_3*K_4)</f>
        <v>489931.41164024908</v>
      </c>
      <c r="J37" s="12">
        <f t="shared" si="9"/>
        <v>667.89955460780163</v>
      </c>
      <c r="K37" s="1">
        <f t="shared" ref="K37:K68" si="11">Nm*(-SQRT(Vi^2*$B$3^2/K_2^2-(H37/Nm)^2)-$B$3^2*K_1/K_2)</f>
        <v>-52916316.380234763</v>
      </c>
      <c r="L37" s="1">
        <f t="shared" si="7"/>
        <v>489931.41164024908</v>
      </c>
      <c r="M37" s="14">
        <f t="shared" si="0"/>
        <v>4373.3319377590024</v>
      </c>
      <c r="N37" s="14">
        <f t="shared" si="0"/>
        <v>489.93141164024905</v>
      </c>
      <c r="O37" s="14">
        <f t="shared" si="2"/>
        <v>965.09636308915628</v>
      </c>
      <c r="P37" s="14">
        <f t="shared" si="1"/>
        <v>489.93141164024905</v>
      </c>
      <c r="Q37" s="14">
        <f t="shared" si="6"/>
        <v>4400.6891535229697</v>
      </c>
      <c r="R37" s="7">
        <f t="shared" si="8"/>
        <v>0.99378342463882807</v>
      </c>
    </row>
    <row r="38" spans="1:18" ht="16.5" thickTop="1" thickBot="1">
      <c r="F38" s="16"/>
      <c r="H38" s="33">
        <f>'V_1,1pu_DIG'!H38</f>
        <v>4317973.3056354709</v>
      </c>
      <c r="I38" s="8">
        <f t="shared" si="10"/>
        <v>489931.41164024908</v>
      </c>
      <c r="J38" s="12">
        <f t="shared" si="9"/>
        <v>667.68089621297531</v>
      </c>
      <c r="K38" s="1">
        <f t="shared" si="11"/>
        <v>-52925341.370610528</v>
      </c>
      <c r="L38" s="1">
        <f t="shared" si="7"/>
        <v>489931.41164024908</v>
      </c>
      <c r="M38" s="14">
        <f t="shared" si="0"/>
        <v>4317.9733056354708</v>
      </c>
      <c r="N38" s="14">
        <f t="shared" si="0"/>
        <v>489.93141164024905</v>
      </c>
      <c r="O38" s="14">
        <f t="shared" si="2"/>
        <v>964.78368158455464</v>
      </c>
      <c r="P38" s="14">
        <f t="shared" si="1"/>
        <v>489.93141164024905</v>
      </c>
      <c r="Q38" s="14">
        <f t="shared" si="6"/>
        <v>4345.6790328201096</v>
      </c>
      <c r="R38" s="7">
        <f t="shared" si="8"/>
        <v>0.99362453439948162</v>
      </c>
    </row>
    <row r="39" spans="1:18" ht="16.5" thickTop="1" thickBot="1">
      <c r="F39" s="16"/>
      <c r="H39" s="33">
        <f>'V_1,1pu_DIG'!H39</f>
        <v>4262614.6735119391</v>
      </c>
      <c r="I39" s="8">
        <f t="shared" si="10"/>
        <v>489931.41164024908</v>
      </c>
      <c r="J39" s="12">
        <f t="shared" si="9"/>
        <v>667.46495300688684</v>
      </c>
      <c r="K39" s="1">
        <f t="shared" si="11"/>
        <v>-52934248.396980442</v>
      </c>
      <c r="L39" s="1">
        <f t="shared" si="7"/>
        <v>489931.41164024908</v>
      </c>
      <c r="M39" s="14">
        <f t="shared" si="0"/>
        <v>4262.6146735119391</v>
      </c>
      <c r="N39" s="14">
        <f t="shared" si="0"/>
        <v>489.93141164024905</v>
      </c>
      <c r="O39" s="14">
        <f t="shared" si="2"/>
        <v>964.47488279984816</v>
      </c>
      <c r="P39" s="14">
        <f t="shared" si="1"/>
        <v>489.93141164024905</v>
      </c>
      <c r="Q39" s="14">
        <f t="shared" si="6"/>
        <v>4290.6778768571176</v>
      </c>
      <c r="R39" s="7">
        <f t="shared" si="8"/>
        <v>0.9934594942452929</v>
      </c>
    </row>
    <row r="40" spans="1:18" ht="16.5" thickTop="1" thickBot="1">
      <c r="F40" s="16"/>
      <c r="H40" s="33">
        <f>'V_1,1pu_DIG'!H40</f>
        <v>4207256.0413884073</v>
      </c>
      <c r="I40" s="8">
        <f t="shared" si="10"/>
        <v>-145771.02615904217</v>
      </c>
      <c r="J40" s="12">
        <f t="shared" si="9"/>
        <v>651.7847671800123</v>
      </c>
      <c r="K40" s="1">
        <f t="shared" si="11"/>
        <v>-52943037.577498466</v>
      </c>
      <c r="L40" s="1">
        <f t="shared" si="7"/>
        <v>-145771.02615904217</v>
      </c>
      <c r="M40" s="14">
        <f t="shared" si="0"/>
        <v>4207.2560413884075</v>
      </c>
      <c r="N40" s="14">
        <f t="shared" si="0"/>
        <v>-145.77102615904218</v>
      </c>
      <c r="O40" s="14">
        <f t="shared" si="2"/>
        <v>942.05221706741759</v>
      </c>
      <c r="P40" s="14">
        <f t="shared" si="1"/>
        <v>-145.77102615904218</v>
      </c>
      <c r="Q40" s="14">
        <f t="shared" si="6"/>
        <v>4209.7805869031599</v>
      </c>
      <c r="R40" s="7">
        <f t="shared" si="8"/>
        <v>0.99940031422953335</v>
      </c>
    </row>
    <row r="41" spans="1:18" ht="16.5" thickTop="1" thickBot="1">
      <c r="F41" s="16"/>
      <c r="H41" s="33">
        <f>'V_1,1pu_DIG'!H41</f>
        <v>4151897.4092648756</v>
      </c>
      <c r="I41" s="8">
        <f t="shared" si="10"/>
        <v>-441126.52971615957</v>
      </c>
      <c r="J41" s="12">
        <f t="shared" si="9"/>
        <v>644.38391338621966</v>
      </c>
      <c r="K41" s="1">
        <f t="shared" si="11"/>
        <v>-52951709.028600655</v>
      </c>
      <c r="L41" s="1">
        <f t="shared" si="7"/>
        <v>-441126.52971615957</v>
      </c>
      <c r="M41" s="14">
        <f t="shared" si="0"/>
        <v>4151.8974092648759</v>
      </c>
      <c r="N41" s="14">
        <f t="shared" si="0"/>
        <v>-441.12652971615955</v>
      </c>
      <c r="O41" s="14">
        <f t="shared" si="2"/>
        <v>931.46899614229403</v>
      </c>
      <c r="P41" s="14">
        <f t="shared" si="1"/>
        <v>-441.12652971615955</v>
      </c>
      <c r="Q41" s="14">
        <f t="shared" si="6"/>
        <v>4175.2658253433174</v>
      </c>
      <c r="R41" s="7">
        <f t="shared" si="8"/>
        <v>0.9944031309487894</v>
      </c>
    </row>
    <row r="42" spans="1:18" ht="16.5" thickTop="1" thickBot="1">
      <c r="F42" s="16"/>
      <c r="H42" s="33">
        <f>'V_1,1pu_DIG'!H42</f>
        <v>4096538.7771413438</v>
      </c>
      <c r="I42" s="8">
        <f t="shared" si="10"/>
        <v>-660499.39227649267</v>
      </c>
      <c r="J42" s="12">
        <f t="shared" si="9"/>
        <v>638.83150227951273</v>
      </c>
      <c r="K42" s="1">
        <f t="shared" si="11"/>
        <v>-52960262.86501316</v>
      </c>
      <c r="L42" s="1">
        <f t="shared" si="7"/>
        <v>-660499.39227649267</v>
      </c>
      <c r="M42" s="14">
        <f t="shared" si="0"/>
        <v>4096.5387771413434</v>
      </c>
      <c r="N42" s="14">
        <f t="shared" si="0"/>
        <v>-660.4993922764927</v>
      </c>
      <c r="O42" s="14">
        <f t="shared" si="2"/>
        <v>923.52904825970313</v>
      </c>
      <c r="P42" s="14">
        <f t="shared" si="1"/>
        <v>-660.4993922764927</v>
      </c>
      <c r="Q42" s="14">
        <f t="shared" si="6"/>
        <v>4149.4444688199301</v>
      </c>
      <c r="R42" s="7">
        <f t="shared" si="8"/>
        <v>0.987249933798094</v>
      </c>
    </row>
    <row r="43" spans="1:18" ht="16.5" thickTop="1" thickBot="1">
      <c r="F43" s="16"/>
      <c r="H43" s="33">
        <f>'V_1,1pu_DIG'!H43</f>
        <v>4041180.145017812</v>
      </c>
      <c r="I43" s="8">
        <f t="shared" si="10"/>
        <v>-841978.50375832315</v>
      </c>
      <c r="J43" s="12">
        <f t="shared" si="9"/>
        <v>634.20145658813487</v>
      </c>
      <c r="K43" s="1">
        <f t="shared" si="11"/>
        <v>-52968699.199760035</v>
      </c>
      <c r="L43" s="1">
        <f t="shared" si="7"/>
        <v>-841978.50375832315</v>
      </c>
      <c r="M43" s="14">
        <f t="shared" si="0"/>
        <v>4041.1801450178118</v>
      </c>
      <c r="N43" s="14">
        <f t="shared" si="0"/>
        <v>-841.9785037583232</v>
      </c>
      <c r="O43" s="14">
        <f t="shared" si="2"/>
        <v>916.90808292103281</v>
      </c>
      <c r="P43" s="14">
        <f t="shared" si="1"/>
        <v>-841.9785037583232</v>
      </c>
      <c r="Q43" s="14">
        <f t="shared" si="6"/>
        <v>4127.9613328224486</v>
      </c>
      <c r="R43" s="7">
        <f t="shared" si="8"/>
        <v>0.97897722851359625</v>
      </c>
    </row>
    <row r="44" spans="1:18" ht="16.5" thickTop="1" thickBot="1">
      <c r="F44" s="16"/>
      <c r="H44" s="33">
        <f>'V_1,1pu_DIG'!H44</f>
        <v>3985821.5128942803</v>
      </c>
      <c r="I44" s="8">
        <f t="shared" si="10"/>
        <v>-999480.50404069189</v>
      </c>
      <c r="J44" s="12">
        <f t="shared" si="9"/>
        <v>630.15556137576345</v>
      </c>
      <c r="K44" s="1">
        <f t="shared" si="11"/>
        <v>-52977018.144170955</v>
      </c>
      <c r="L44" s="1">
        <f t="shared" si="7"/>
        <v>-999480.50404069189</v>
      </c>
      <c r="M44" s="14">
        <f t="shared" si="0"/>
        <v>3985.8215128942802</v>
      </c>
      <c r="N44" s="14">
        <f t="shared" si="0"/>
        <v>-999.48050404069193</v>
      </c>
      <c r="O44" s="14">
        <f t="shared" si="2"/>
        <v>911.12245276734166</v>
      </c>
      <c r="P44" s="14">
        <f t="shared" si="1"/>
        <v>-999.48050404069193</v>
      </c>
      <c r="Q44" s="14">
        <f t="shared" si="6"/>
        <v>4109.2255244277221</v>
      </c>
      <c r="R44" s="7">
        <f t="shared" si="8"/>
        <v>0.96996903411607516</v>
      </c>
    </row>
    <row r="45" spans="1:18" ht="16.5" thickTop="1" thickBot="1">
      <c r="F45" s="16"/>
      <c r="H45" s="33">
        <f>'V_1,1pu_DIG'!H45</f>
        <v>3930462.8807707485</v>
      </c>
      <c r="I45" s="8">
        <f t="shared" si="10"/>
        <v>-1139971.2020476139</v>
      </c>
      <c r="J45" s="12">
        <f t="shared" si="9"/>
        <v>626.52460450927754</v>
      </c>
      <c r="K45" s="1">
        <f t="shared" si="11"/>
        <v>-52985219.807888813</v>
      </c>
      <c r="L45" s="1">
        <f t="shared" ref="L45:L56" si="12">IF(ABS(I45)&lt;ABS(K45),I45,K45)</f>
        <v>-1139971.2020476139</v>
      </c>
      <c r="M45" s="14">
        <f t="shared" ref="M45:M56" si="13">H45/1000</f>
        <v>3930.4628807707486</v>
      </c>
      <c r="N45" s="14">
        <f t="shared" ref="N45:N56" si="14">I45/1000</f>
        <v>-1139.9712020476138</v>
      </c>
      <c r="O45" s="14">
        <f t="shared" ref="O45:O56" si="15">J45*1.43+10</f>
        <v>905.9301844482668</v>
      </c>
      <c r="P45" s="14">
        <f t="shared" ref="P45:P56" si="16">L45/1000</f>
        <v>-1139.9712020476138</v>
      </c>
      <c r="Q45" s="14">
        <f t="shared" ref="Q45:Q56" si="17">SQRT(M45^2+P45^2)</f>
        <v>4092.4409340410243</v>
      </c>
      <c r="R45" s="7">
        <f t="shared" ref="R45:R56" si="18">M45/SQRT(M45^2+P45^2)</f>
        <v>0.96042018543922325</v>
      </c>
    </row>
    <row r="46" spans="1:18" ht="16.5" thickTop="1" thickBot="1">
      <c r="F46" s="16"/>
      <c r="H46" s="33">
        <f>'V_1,1pu_DIG'!H46</f>
        <v>3875104.2486472167</v>
      </c>
      <c r="I46" s="8">
        <f t="shared" si="10"/>
        <v>-1267534.9605386057</v>
      </c>
      <c r="J46" s="12">
        <f t="shared" si="9"/>
        <v>623.20941779072939</v>
      </c>
      <c r="K46" s="1">
        <f t="shared" si="11"/>
        <v>-52993304.298877068</v>
      </c>
      <c r="L46" s="1">
        <f t="shared" si="12"/>
        <v>-1267534.9605386057</v>
      </c>
      <c r="M46" s="14">
        <f t="shared" si="13"/>
        <v>3875.1042486472165</v>
      </c>
      <c r="N46" s="14">
        <f t="shared" si="14"/>
        <v>-1267.5349605386057</v>
      </c>
      <c r="O46" s="14">
        <f t="shared" si="15"/>
        <v>901.18946744074299</v>
      </c>
      <c r="P46" s="14">
        <f t="shared" si="16"/>
        <v>-1267.5349605386057</v>
      </c>
      <c r="Q46" s="14">
        <f t="shared" si="17"/>
        <v>4077.1408871991794</v>
      </c>
      <c r="R46" s="7">
        <f t="shared" si="18"/>
        <v>0.95044649077830778</v>
      </c>
    </row>
    <row r="47" spans="1:18" ht="16.5" thickTop="1" thickBot="1">
      <c r="F47" s="16"/>
      <c r="H47" s="33">
        <f>'V_1,1pu_DIG'!H47</f>
        <v>3819745.6165236849</v>
      </c>
      <c r="I47" s="8">
        <f t="shared" si="10"/>
        <v>-1384812.4141320381</v>
      </c>
      <c r="J47" s="12">
        <f t="shared" si="9"/>
        <v>620.14592018853295</v>
      </c>
      <c r="K47" s="1">
        <f t="shared" si="11"/>
        <v>-53001271.723427176</v>
      </c>
      <c r="L47" s="1">
        <f t="shared" si="12"/>
        <v>-1384812.4141320381</v>
      </c>
      <c r="M47" s="14">
        <f t="shared" si="13"/>
        <v>3819.7456165236849</v>
      </c>
      <c r="N47" s="14">
        <f t="shared" si="14"/>
        <v>-1384.8124141320382</v>
      </c>
      <c r="O47" s="14">
        <f t="shared" si="15"/>
        <v>896.80866586960212</v>
      </c>
      <c r="P47" s="14">
        <f t="shared" si="16"/>
        <v>-1384.8124141320382</v>
      </c>
      <c r="Q47" s="14">
        <f t="shared" si="17"/>
        <v>4063.0237505195696</v>
      </c>
      <c r="R47" s="7">
        <f t="shared" si="18"/>
        <v>0.94012387105421802</v>
      </c>
    </row>
    <row r="48" spans="1:18" ht="16.5" thickTop="1" thickBot="1">
      <c r="F48" s="16"/>
      <c r="H48" s="33">
        <f>'V_1,1pu_DIG'!H48</f>
        <v>3764386.9844001532</v>
      </c>
      <c r="I48" s="8">
        <f t="shared" si="10"/>
        <v>-1493628.9274727148</v>
      </c>
      <c r="J48" s="12">
        <f t="shared" si="9"/>
        <v>617.28983981909687</v>
      </c>
      <c r="K48" s="1">
        <f t="shared" si="11"/>
        <v>-53009122.186165653</v>
      </c>
      <c r="L48" s="1">
        <f t="shared" si="12"/>
        <v>-1493628.9274727148</v>
      </c>
      <c r="M48" s="14">
        <f t="shared" si="13"/>
        <v>3764.3869844001533</v>
      </c>
      <c r="N48" s="14">
        <f t="shared" si="14"/>
        <v>-1493.6289274727148</v>
      </c>
      <c r="O48" s="14">
        <f t="shared" si="15"/>
        <v>892.72447094130848</v>
      </c>
      <c r="P48" s="14">
        <f t="shared" si="16"/>
        <v>-1493.6289274727148</v>
      </c>
      <c r="Q48" s="14">
        <f t="shared" si="17"/>
        <v>4049.8810774274066</v>
      </c>
      <c r="R48" s="7">
        <f t="shared" si="18"/>
        <v>0.92950556138092655</v>
      </c>
    </row>
    <row r="49" spans="6:18" ht="16.5" thickTop="1" thickBot="1">
      <c r="F49" s="16"/>
      <c r="H49" s="33">
        <f>'V_1,1pu_DIG'!H49</f>
        <v>3709028.3522766214</v>
      </c>
      <c r="I49" s="8">
        <f t="shared" si="10"/>
        <v>-1595309.5023146316</v>
      </c>
      <c r="J49" s="12">
        <f t="shared" si="9"/>
        <v>614.60905962752304</v>
      </c>
      <c r="K49" s="1">
        <f t="shared" si="11"/>
        <v>-53016855.790061206</v>
      </c>
      <c r="L49" s="1">
        <f t="shared" si="12"/>
        <v>-1595309.5023146316</v>
      </c>
      <c r="M49" s="14">
        <f t="shared" si="13"/>
        <v>3709.0283522766213</v>
      </c>
      <c r="N49" s="14">
        <f t="shared" si="14"/>
        <v>-1595.3095023146316</v>
      </c>
      <c r="O49" s="14">
        <f t="shared" si="15"/>
        <v>888.89095526735787</v>
      </c>
      <c r="P49" s="14">
        <f t="shared" si="16"/>
        <v>-1595.3095023146316</v>
      </c>
      <c r="Q49" s="14">
        <f t="shared" si="17"/>
        <v>4037.5616064856754</v>
      </c>
      <c r="R49" s="7">
        <f t="shared" si="18"/>
        <v>0.91863077613941058</v>
      </c>
    </row>
    <row r="50" spans="6:18" ht="16.5" thickTop="1" thickBot="1">
      <c r="F50" s="16"/>
      <c r="H50" s="33">
        <f>'V_1,1pu_DIG'!H50</f>
        <v>3653669.7201530896</v>
      </c>
      <c r="I50" s="8">
        <f t="shared" si="10"/>
        <v>-1690852.5215497548</v>
      </c>
      <c r="J50" s="12">
        <f t="shared" si="9"/>
        <v>612.07939490867307</v>
      </c>
      <c r="K50" s="1">
        <f t="shared" si="11"/>
        <v>-53024472.636431672</v>
      </c>
      <c r="L50" s="1">
        <f t="shared" si="12"/>
        <v>-1690852.5215497548</v>
      </c>
      <c r="M50" s="14">
        <f t="shared" si="13"/>
        <v>3653.6697201530897</v>
      </c>
      <c r="N50" s="14">
        <f t="shared" si="14"/>
        <v>-1690.8525215497548</v>
      </c>
      <c r="O50" s="14">
        <f t="shared" si="15"/>
        <v>885.27353471940239</v>
      </c>
      <c r="P50" s="14">
        <f t="shared" si="16"/>
        <v>-1690.8525215497548</v>
      </c>
      <c r="Q50" s="14">
        <f t="shared" si="17"/>
        <v>4025.9513998053581</v>
      </c>
      <c r="R50" s="7">
        <f t="shared" si="18"/>
        <v>0.90752951472035481</v>
      </c>
    </row>
    <row r="51" spans="6:18" ht="16.5" thickTop="1" thickBot="1">
      <c r="F51" s="16"/>
      <c r="H51" s="33">
        <f>'V_1,1pu_DIG'!H51</f>
        <v>3598311.0880295578</v>
      </c>
      <c r="I51" s="8">
        <f t="shared" si="10"/>
        <v>-1781032.7670703614</v>
      </c>
      <c r="J51" s="12">
        <f t="shared" si="9"/>
        <v>609.68209006216739</v>
      </c>
      <c r="K51" s="1">
        <f t="shared" si="11"/>
        <v>-53031972.824950732</v>
      </c>
      <c r="L51" s="1">
        <f t="shared" si="12"/>
        <v>-1781032.7670703614</v>
      </c>
      <c r="M51" s="14">
        <f t="shared" si="13"/>
        <v>3598.3110880295581</v>
      </c>
      <c r="N51" s="14">
        <f t="shared" si="14"/>
        <v>-1781.0327670703614</v>
      </c>
      <c r="O51" s="14">
        <f t="shared" si="15"/>
        <v>881.8453887888993</v>
      </c>
      <c r="P51" s="14">
        <f t="shared" si="16"/>
        <v>-1781.0327670703614</v>
      </c>
      <c r="Q51" s="14">
        <f t="shared" si="17"/>
        <v>4014.9620675187916</v>
      </c>
      <c r="R51" s="7">
        <f t="shared" si="18"/>
        <v>0.89622542567463903</v>
      </c>
    </row>
    <row r="52" spans="6:18" ht="16.5" thickTop="1" thickBot="1">
      <c r="F52" s="16"/>
      <c r="H52" s="33">
        <f>'V_1,1pu_DIG'!H52</f>
        <v>3542952.4559060261</v>
      </c>
      <c r="I52" s="8">
        <f t="shared" si="10"/>
        <v>-1866466.0256382492</v>
      </c>
      <c r="J52" s="12">
        <f t="shared" si="9"/>
        <v>607.4022489681837</v>
      </c>
      <c r="K52" s="1">
        <f t="shared" si="11"/>
        <v>-53039356.453654736</v>
      </c>
      <c r="L52" s="1">
        <f t="shared" si="12"/>
        <v>-1866466.0256382492</v>
      </c>
      <c r="M52" s="14">
        <f t="shared" si="13"/>
        <v>3542.952455906026</v>
      </c>
      <c r="N52" s="14">
        <f t="shared" si="14"/>
        <v>-1866.4660256382492</v>
      </c>
      <c r="O52" s="14">
        <f t="shared" si="15"/>
        <v>878.58521602450264</v>
      </c>
      <c r="P52" s="14">
        <f t="shared" si="16"/>
        <v>-1866.4660256382492</v>
      </c>
      <c r="Q52" s="14">
        <f t="shared" si="17"/>
        <v>4004.5233835841668</v>
      </c>
      <c r="R52" s="7">
        <f t="shared" si="18"/>
        <v>0.88473761207881341</v>
      </c>
    </row>
    <row r="53" spans="6:18" ht="16.5" thickTop="1" thickBot="1">
      <c r="F53" s="16"/>
      <c r="H53" s="33">
        <f>'V_1,1pu_DIG'!H53</f>
        <v>3321517.9274118994</v>
      </c>
      <c r="I53" s="8">
        <f t="shared" si="10"/>
        <v>-2169512.0724564851</v>
      </c>
      <c r="J53" s="12">
        <f t="shared" si="9"/>
        <v>599.24532414766281</v>
      </c>
      <c r="K53" s="1">
        <f t="shared" si="11"/>
        <v>-53067727.274100892</v>
      </c>
      <c r="L53" s="1">
        <f t="shared" si="12"/>
        <v>-2169512.0724564851</v>
      </c>
      <c r="M53" s="14">
        <f t="shared" si="13"/>
        <v>3321.5179274118996</v>
      </c>
      <c r="N53" s="14">
        <f t="shared" si="14"/>
        <v>-2169.5120724564849</v>
      </c>
      <c r="O53" s="14">
        <f t="shared" si="15"/>
        <v>866.92081353115782</v>
      </c>
      <c r="P53" s="14">
        <f t="shared" si="16"/>
        <v>-2169.5120724564849</v>
      </c>
      <c r="Q53" s="14">
        <f t="shared" si="17"/>
        <v>3967.2741239613215</v>
      </c>
      <c r="R53" s="7">
        <f t="shared" si="18"/>
        <v>0.83722924699122259</v>
      </c>
    </row>
    <row r="54" spans="6:18" ht="16.5" thickTop="1" thickBot="1">
      <c r="F54" s="16"/>
      <c r="H54" s="33">
        <f>'V_1,1pu_DIG'!H54</f>
        <v>3100083.3989177728</v>
      </c>
      <c r="I54" s="8">
        <f t="shared" si="10"/>
        <v>-2424618.9665446342</v>
      </c>
      <c r="J54" s="12">
        <f t="shared" si="9"/>
        <v>592.29167227994617</v>
      </c>
      <c r="K54" s="1">
        <f t="shared" si="11"/>
        <v>-53094240.55904185</v>
      </c>
      <c r="L54" s="1">
        <f t="shared" si="12"/>
        <v>-2424618.9665446342</v>
      </c>
      <c r="M54" s="14">
        <f t="shared" si="13"/>
        <v>3100.0833989177727</v>
      </c>
      <c r="N54" s="14">
        <f t="shared" si="14"/>
        <v>-2424.6189665446341</v>
      </c>
      <c r="O54" s="14">
        <f t="shared" si="15"/>
        <v>856.97709136032302</v>
      </c>
      <c r="P54" s="14">
        <f t="shared" si="16"/>
        <v>-2424.6189665446341</v>
      </c>
      <c r="Q54" s="14">
        <f t="shared" si="17"/>
        <v>3935.6440658643837</v>
      </c>
      <c r="R54" s="7">
        <f t="shared" si="18"/>
        <v>0.78769404626962947</v>
      </c>
    </row>
    <row r="55" spans="6:18" ht="16.5" thickTop="1" thickBot="1">
      <c r="F55" s="16"/>
      <c r="H55" s="33">
        <f>'V_1,1pu_DIG'!H55</f>
        <v>2878648.8704236462</v>
      </c>
      <c r="I55" s="8">
        <f t="shared" si="10"/>
        <v>-2643517.4339661193</v>
      </c>
      <c r="J55" s="12">
        <f t="shared" si="9"/>
        <v>586.25923724121242</v>
      </c>
      <c r="K55" s="1">
        <f t="shared" si="11"/>
        <v>-53118901.810383461</v>
      </c>
      <c r="L55" s="1">
        <f t="shared" si="12"/>
        <v>-2643517.4339661193</v>
      </c>
      <c r="M55" s="14">
        <f t="shared" si="13"/>
        <v>2878.6488704236463</v>
      </c>
      <c r="N55" s="14">
        <f t="shared" si="14"/>
        <v>-2643.5174339661194</v>
      </c>
      <c r="O55" s="14">
        <f t="shared" si="15"/>
        <v>848.35070925493369</v>
      </c>
      <c r="P55" s="14">
        <f t="shared" si="16"/>
        <v>-2643.5174339661194</v>
      </c>
      <c r="Q55" s="14">
        <f t="shared" si="17"/>
        <v>3908.2993415134097</v>
      </c>
      <c r="R55" s="7">
        <f t="shared" si="18"/>
        <v>0.73654769475997917</v>
      </c>
    </row>
    <row r="56" spans="6:18" ht="16.5" thickTop="1" thickBot="1">
      <c r="F56" s="16"/>
      <c r="H56" s="33">
        <f>'V_1,1pu_DIG'!H56</f>
        <v>2657214.3419295195</v>
      </c>
      <c r="I56" s="8">
        <f t="shared" si="10"/>
        <v>-2833370.0986454617</v>
      </c>
      <c r="J56" s="12">
        <f t="shared" si="9"/>
        <v>580.97653187206652</v>
      </c>
      <c r="K56" s="1">
        <f t="shared" si="11"/>
        <v>-53141716.126217604</v>
      </c>
      <c r="L56" s="1">
        <f t="shared" si="12"/>
        <v>-2833370.0986454617</v>
      </c>
      <c r="M56" s="14">
        <f t="shared" si="13"/>
        <v>2657.2143419295194</v>
      </c>
      <c r="N56" s="14">
        <f t="shared" si="14"/>
        <v>-2833.3700986454619</v>
      </c>
      <c r="O56" s="14">
        <f t="shared" si="15"/>
        <v>840.79644057705514</v>
      </c>
      <c r="P56" s="14">
        <f t="shared" si="16"/>
        <v>-2833.3700986454619</v>
      </c>
      <c r="Q56" s="14">
        <f t="shared" si="17"/>
        <v>3884.4271359949748</v>
      </c>
      <c r="R56" s="7">
        <f t="shared" si="18"/>
        <v>0.68406852513887828</v>
      </c>
    </row>
    <row r="57" spans="6:18" ht="16.5" thickTop="1" thickBot="1">
      <c r="F57" s="16"/>
      <c r="H57" s="33">
        <f>'V_1,1pu_DIG'!H57</f>
        <v>2435779.8134353929</v>
      </c>
      <c r="I57" s="8">
        <f t="shared" si="10"/>
        <v>-2998921.9369090791</v>
      </c>
      <c r="J57" s="12">
        <f t="shared" si="9"/>
        <v>576.33048377017076</v>
      </c>
      <c r="K57" s="1">
        <f t="shared" si="11"/>
        <v>-53162688.206179067</v>
      </c>
      <c r="L57" s="1">
        <f t="shared" ref="L57:L68" si="19">IF(ABS(I57)&lt;ABS(K57),I57,K57)</f>
        <v>-2998921.9369090791</v>
      </c>
      <c r="M57" s="14">
        <f t="shared" ref="M57:M68" si="20">H57/1000</f>
        <v>2435.779813435393</v>
      </c>
      <c r="N57" s="14">
        <f t="shared" ref="N57:N68" si="21">I57/1000</f>
        <v>-2998.9219369090792</v>
      </c>
      <c r="O57" s="14">
        <f t="shared" ref="O57:O68" si="22">J57*1.43+10</f>
        <v>834.15259179134409</v>
      </c>
      <c r="P57" s="14">
        <f t="shared" ref="P57:P68" si="23">L57/1000</f>
        <v>-2998.9219369090792</v>
      </c>
      <c r="Q57" s="14">
        <f t="shared" ref="Q57:Q68" si="24">SQRT(M57^2+P57^2)</f>
        <v>3863.4901427613167</v>
      </c>
      <c r="R57" s="7">
        <f t="shared" ref="R57:R68" si="25">M57/SQRT(M57^2+P57^2)</f>
        <v>0.63046098823342422</v>
      </c>
    </row>
    <row r="58" spans="6:18" ht="16.5" thickTop="1" thickBot="1">
      <c r="F58" s="16"/>
      <c r="H58" s="33">
        <f>'V_1,1pu_DIG'!H58</f>
        <v>2214345.2849412663</v>
      </c>
      <c r="I58" s="8">
        <f t="shared" si="10"/>
        <v>-3143496.1638429342</v>
      </c>
      <c r="J58" s="12">
        <f t="shared" si="9"/>
        <v>572.24229784565671</v>
      </c>
      <c r="K58" s="1">
        <f t="shared" si="11"/>
        <v>-53181822.356355228</v>
      </c>
      <c r="L58" s="1">
        <f t="shared" si="19"/>
        <v>-3143496.1638429342</v>
      </c>
      <c r="M58" s="14">
        <f t="shared" si="20"/>
        <v>2214.3452849412661</v>
      </c>
      <c r="N58" s="14">
        <f t="shared" si="21"/>
        <v>-3143.496163842934</v>
      </c>
      <c r="O58" s="14">
        <f t="shared" si="22"/>
        <v>828.306485919289</v>
      </c>
      <c r="P58" s="14">
        <f t="shared" si="23"/>
        <v>-3143.496163842934</v>
      </c>
      <c r="Q58" s="14">
        <f t="shared" si="24"/>
        <v>3845.1128947063257</v>
      </c>
      <c r="R58" s="7">
        <f t="shared" si="25"/>
        <v>0.57588563602119902</v>
      </c>
    </row>
    <row r="59" spans="6:18" ht="16.5" thickTop="1" thickBot="1">
      <c r="F59" s="16"/>
      <c r="H59" s="33">
        <f>'V_1,1pu_DIG'!H59</f>
        <v>1992910.7564471397</v>
      </c>
      <c r="I59" s="8">
        <f t="shared" si="10"/>
        <v>-3269513.7208308326</v>
      </c>
      <c r="J59" s="12">
        <f t="shared" si="9"/>
        <v>568.65487282239224</v>
      </c>
      <c r="K59" s="1">
        <f t="shared" si="11"/>
        <v>-53199122.493760288</v>
      </c>
      <c r="L59" s="1">
        <f t="shared" si="19"/>
        <v>-3269513.7208308326</v>
      </c>
      <c r="M59" s="14">
        <f t="shared" si="20"/>
        <v>1992.9107564471396</v>
      </c>
      <c r="N59" s="14">
        <f t="shared" si="21"/>
        <v>-3269.5137208308324</v>
      </c>
      <c r="O59" s="14">
        <f t="shared" si="22"/>
        <v>823.17646813602084</v>
      </c>
      <c r="P59" s="14">
        <f t="shared" si="23"/>
        <v>-3269.5137208308324</v>
      </c>
      <c r="Q59" s="14">
        <f t="shared" si="24"/>
        <v>3829.0224932564429</v>
      </c>
      <c r="R59" s="7">
        <f t="shared" si="25"/>
        <v>0.52047507162911499</v>
      </c>
    </row>
    <row r="60" spans="6:18" ht="16.5" thickTop="1" thickBot="1">
      <c r="F60" s="16"/>
      <c r="H60" s="33">
        <f>'V_1,1pu_DIG'!H60</f>
        <v>1771476.227953013</v>
      </c>
      <c r="I60" s="8">
        <f t="shared" si="10"/>
        <v>-3378788.3974206992</v>
      </c>
      <c r="J60" s="12">
        <f t="shared" si="9"/>
        <v>565.52565624167994</v>
      </c>
      <c r="K60" s="1">
        <f t="shared" si="11"/>
        <v>-53214592.150385246</v>
      </c>
      <c r="L60" s="1">
        <f t="shared" si="19"/>
        <v>-3378788.3974206992</v>
      </c>
      <c r="M60" s="14">
        <f t="shared" si="20"/>
        <v>1771.476227953013</v>
      </c>
      <c r="N60" s="14">
        <f t="shared" si="21"/>
        <v>-3378.7883974206993</v>
      </c>
      <c r="O60" s="14">
        <f t="shared" si="22"/>
        <v>818.70168842560224</v>
      </c>
      <c r="P60" s="14">
        <f t="shared" si="23"/>
        <v>-3378.7883974206993</v>
      </c>
      <c r="Q60" s="14">
        <f t="shared" si="24"/>
        <v>3815.0149489546397</v>
      </c>
      <c r="R60" s="7">
        <f t="shared" si="25"/>
        <v>0.46434319436635996</v>
      </c>
    </row>
    <row r="61" spans="6:18" ht="16.5" thickTop="1" thickBot="1">
      <c r="F61" s="16"/>
      <c r="H61" s="33">
        <f>'V_1,1pu_DIG'!H61</f>
        <v>1550041.6994588864</v>
      </c>
      <c r="I61" s="8">
        <f t="shared" si="10"/>
        <v>-3472705.5534578441</v>
      </c>
      <c r="J61" s="12">
        <f t="shared" si="9"/>
        <v>562.82231942479132</v>
      </c>
      <c r="K61" s="1">
        <f t="shared" si="11"/>
        <v>-53228234.476833507</v>
      </c>
      <c r="L61" s="1">
        <f t="shared" si="19"/>
        <v>-3472705.5534578441</v>
      </c>
      <c r="M61" s="14">
        <f t="shared" si="20"/>
        <v>1550.0416994588863</v>
      </c>
      <c r="N61" s="14">
        <f t="shared" si="21"/>
        <v>-3472.705553457844</v>
      </c>
      <c r="O61" s="14">
        <f t="shared" si="22"/>
        <v>814.83591677745153</v>
      </c>
      <c r="P61" s="14">
        <f t="shared" si="23"/>
        <v>-3472.705553457844</v>
      </c>
      <c r="Q61" s="14">
        <f t="shared" si="24"/>
        <v>3802.9348049997311</v>
      </c>
      <c r="R61" s="7">
        <f t="shared" si="25"/>
        <v>0.40759092094375149</v>
      </c>
    </row>
    <row r="62" spans="6:18" ht="16.5" thickTop="1" thickBot="1">
      <c r="F62" s="16"/>
      <c r="H62" s="33">
        <f>'V_1,1pu_DIG'!H62</f>
        <v>1328607.1709647598</v>
      </c>
      <c r="I62" s="8">
        <f t="shared" si="10"/>
        <v>-3552335.7705836371</v>
      </c>
      <c r="J62" s="12">
        <f t="shared" si="9"/>
        <v>560.5200080627593</v>
      </c>
      <c r="K62" s="1">
        <f t="shared" si="11"/>
        <v>-53240052.245550752</v>
      </c>
      <c r="L62" s="1">
        <f t="shared" si="19"/>
        <v>-3552335.7705836371</v>
      </c>
      <c r="M62" s="14">
        <f t="shared" si="20"/>
        <v>1328.6071709647597</v>
      </c>
      <c r="N62" s="14">
        <f t="shared" si="21"/>
        <v>-3552.335770583637</v>
      </c>
      <c r="O62" s="14">
        <f t="shared" si="22"/>
        <v>811.54361152974582</v>
      </c>
      <c r="P62" s="14">
        <f t="shared" si="23"/>
        <v>-3552.335770583637</v>
      </c>
      <c r="Q62" s="14">
        <f t="shared" si="24"/>
        <v>3792.662183968805</v>
      </c>
      <c r="R62" s="7">
        <f t="shared" si="25"/>
        <v>0.35030991596895877</v>
      </c>
    </row>
    <row r="63" spans="6:18" ht="16.5" thickTop="1" thickBot="1">
      <c r="F63" s="16"/>
      <c r="H63" s="33">
        <f>'V_1,1pu_DIG'!H63</f>
        <v>1107172.6424706331</v>
      </c>
      <c r="I63" s="8">
        <f t="shared" si="10"/>
        <v>-3618509.8654121337</v>
      </c>
      <c r="J63" s="12">
        <f t="shared" si="9"/>
        <v>558.59952795733159</v>
      </c>
      <c r="K63" s="1">
        <f t="shared" si="11"/>
        <v>-53250047.853656977</v>
      </c>
      <c r="L63" s="1">
        <f t="shared" si="19"/>
        <v>-3618509.8654121337</v>
      </c>
      <c r="M63" s="14">
        <f t="shared" si="20"/>
        <v>1107.172642470633</v>
      </c>
      <c r="N63" s="14">
        <f t="shared" si="21"/>
        <v>-3618.5098654121339</v>
      </c>
      <c r="O63" s="14">
        <f t="shared" si="22"/>
        <v>808.79732497898419</v>
      </c>
      <c r="P63" s="14">
        <f t="shared" si="23"/>
        <v>-3618.5098654121339</v>
      </c>
      <c r="Q63" s="14">
        <f t="shared" si="24"/>
        <v>3784.1042409426759</v>
      </c>
      <c r="R63" s="7">
        <f t="shared" si="25"/>
        <v>0.29258513295997896</v>
      </c>
    </row>
    <row r="64" spans="6:18" ht="16.5" thickTop="1" thickBot="1">
      <c r="F64" s="16"/>
      <c r="H64" s="33">
        <f>'V_1,1pu_DIG'!H64</f>
        <v>885738.1139765064</v>
      </c>
      <c r="I64" s="8">
        <f t="shared" si="10"/>
        <v>-3671869.7586071426</v>
      </c>
      <c r="J64" s="12">
        <f t="shared" si="9"/>
        <v>557.04611487527075</v>
      </c>
      <c r="K64" s="1">
        <f t="shared" si="11"/>
        <v>-53258223.325387493</v>
      </c>
      <c r="L64" s="1">
        <f t="shared" si="19"/>
        <v>-3671869.7586071426</v>
      </c>
      <c r="M64" s="14">
        <f t="shared" si="20"/>
        <v>885.73811397650638</v>
      </c>
      <c r="N64" s="14">
        <f t="shared" si="21"/>
        <v>-3671.8697586071426</v>
      </c>
      <c r="O64" s="14">
        <f t="shared" si="22"/>
        <v>806.57594427163713</v>
      </c>
      <c r="P64" s="14">
        <f t="shared" si="23"/>
        <v>-3671.8697586071426</v>
      </c>
      <c r="Q64" s="14">
        <f t="shared" si="24"/>
        <v>3777.1893691903156</v>
      </c>
      <c r="R64" s="7">
        <f t="shared" si="25"/>
        <v>0.23449661306400812</v>
      </c>
    </row>
    <row r="65" spans="6:18" ht="16.5" thickTop="1" thickBot="1">
      <c r="F65" s="16"/>
      <c r="H65" s="33">
        <f>'V_1,1pu_DIG'!H65</f>
        <v>664303.58548237965</v>
      </c>
      <c r="I65" s="8">
        <f t="shared" si="10"/>
        <v>-3712903.5522309793</v>
      </c>
      <c r="J65" s="12">
        <f t="shared" si="9"/>
        <v>555.84858632699013</v>
      </c>
      <c r="K65" s="1">
        <f t="shared" si="11"/>
        <v>-53264580.314148657</v>
      </c>
      <c r="L65" s="1">
        <f t="shared" si="19"/>
        <v>-3712903.5522309793</v>
      </c>
      <c r="M65" s="14">
        <f t="shared" si="20"/>
        <v>664.30358548237962</v>
      </c>
      <c r="N65" s="14">
        <f t="shared" si="21"/>
        <v>-3712.9035522309791</v>
      </c>
      <c r="O65" s="14">
        <f t="shared" si="22"/>
        <v>804.86347844759587</v>
      </c>
      <c r="P65" s="14">
        <f t="shared" si="23"/>
        <v>-3712.9035522309791</v>
      </c>
      <c r="Q65" s="14">
        <f t="shared" si="24"/>
        <v>3771.8632056126012</v>
      </c>
      <c r="R65" s="7">
        <f t="shared" si="25"/>
        <v>0.17612080536056657</v>
      </c>
    </row>
    <row r="66" spans="6:18" ht="16.5" thickTop="1" thickBot="1">
      <c r="F66" s="16"/>
      <c r="H66" s="33">
        <f>'V_1,1pu_DIG'!H66</f>
        <v>442869.05698825291</v>
      </c>
      <c r="I66" s="8">
        <f t="shared" si="10"/>
        <v>-3741969.814237495</v>
      </c>
      <c r="J66" s="12">
        <f t="shared" si="9"/>
        <v>554.99875431840167</v>
      </c>
      <c r="K66" s="1">
        <f t="shared" si="11"/>
        <v>-53269120.104193278</v>
      </c>
      <c r="L66" s="1">
        <f t="shared" si="19"/>
        <v>-3741969.814237495</v>
      </c>
      <c r="M66" s="14">
        <f t="shared" si="20"/>
        <v>442.86905698825291</v>
      </c>
      <c r="N66" s="14">
        <f t="shared" si="21"/>
        <v>-3741.969814237495</v>
      </c>
      <c r="O66" s="14">
        <f t="shared" si="22"/>
        <v>803.6482186753143</v>
      </c>
      <c r="P66" s="14">
        <f t="shared" si="23"/>
        <v>-3741.969814237495</v>
      </c>
      <c r="Q66" s="14">
        <f t="shared" si="24"/>
        <v>3768.0858658345696</v>
      </c>
      <c r="R66" s="7">
        <f t="shared" si="25"/>
        <v>0.11753157246329488</v>
      </c>
    </row>
    <row r="67" spans="6:18" ht="16.5" thickTop="1" thickBot="1">
      <c r="F67" s="16"/>
      <c r="H67" s="33">
        <f>'V_1,1pu_DIG'!H67</f>
        <v>221434.52849412619</v>
      </c>
      <c r="I67" s="8">
        <f t="shared" si="10"/>
        <v>-3759314.1374912434</v>
      </c>
      <c r="J67" s="12">
        <f t="shared" si="9"/>
        <v>554.49102489311917</v>
      </c>
      <c r="K67" s="1">
        <f t="shared" si="11"/>
        <v>-53271843.611919522</v>
      </c>
      <c r="L67" s="1">
        <f t="shared" si="19"/>
        <v>-3759314.1374912434</v>
      </c>
      <c r="M67" s="14">
        <f t="shared" si="20"/>
        <v>221.4345284941262</v>
      </c>
      <c r="N67" s="14">
        <f t="shared" si="21"/>
        <v>-3759.3141374912434</v>
      </c>
      <c r="O67" s="14">
        <f t="shared" si="22"/>
        <v>802.92216559716042</v>
      </c>
      <c r="P67" s="14">
        <f t="shared" si="23"/>
        <v>-3759.3141374912434</v>
      </c>
      <c r="Q67" s="14">
        <f t="shared" si="24"/>
        <v>3765.8300591969028</v>
      </c>
      <c r="R67" s="7">
        <f t="shared" si="25"/>
        <v>5.8800988099114888E-2</v>
      </c>
    </row>
    <row r="68" spans="6:18" ht="16.5" thickTop="1" thickBot="1">
      <c r="F68" s="16"/>
      <c r="H68" s="33">
        <f>'V_1,1pu_DIG'!H68</f>
        <v>-5.2386894822120667E-10</v>
      </c>
      <c r="I68" s="8">
        <f t="shared" si="10"/>
        <v>-3765079.8676894801</v>
      </c>
      <c r="J68" s="12">
        <f>SQRT(3)*SQRT(($B$3/SQRT(3)*K_1+SQRT(H68^2+I68^2)/SQRT(3)/$B$3/Nm*I68/SQRT(H68^2+I68^2)*K_2)^2+(SQRT(H68^2+I68^2)/SQRT(3)/$B$3/Nm*H68/SQRT(H68^2+I68^2)*K_2)^2)</f>
        <v>554.32213867008841</v>
      </c>
      <c r="K68" s="1">
        <f t="shared" si="11"/>
        <v>-53272751.386796653</v>
      </c>
      <c r="L68" s="1">
        <f t="shared" si="19"/>
        <v>-3765079.8676894801</v>
      </c>
      <c r="M68" s="14">
        <f t="shared" si="20"/>
        <v>-5.2386894822120663E-13</v>
      </c>
      <c r="N68" s="14">
        <f t="shared" si="21"/>
        <v>-3765.0798676894801</v>
      </c>
      <c r="O68" s="14">
        <f t="shared" si="22"/>
        <v>802.68065829822638</v>
      </c>
      <c r="P68" s="14">
        <f t="shared" si="23"/>
        <v>-3765.0798676894801</v>
      </c>
      <c r="Q68" s="14">
        <f t="shared" si="24"/>
        <v>3765.0798676894801</v>
      </c>
      <c r="R68" s="7">
        <f t="shared" si="25"/>
        <v>-1.3913886733634944E-16</v>
      </c>
    </row>
    <row r="69" spans="6:18" ht="15.75" thickTop="1"/>
  </sheetData>
  <hyperlinks>
    <hyperlink ref="A13" r:id="rId1" display="Vdc@Tmin" xr:uid="{00000000-0004-0000-0C00-000000000000}"/>
    <hyperlink ref="A22" r:id="rId2" display="P@PF=1 (W) (kW)" xr:uid="{00000000-0004-0000-0C00-000001000000}"/>
    <hyperlink ref="C22" r:id="rId3" display="P@PF=1 (kW)" xr:uid="{00000000-0004-0000-0C00-000002000000}"/>
    <hyperlink ref="C23" r:id="rId4" display="P@PF=1 (kW)" xr:uid="{00000000-0004-0000-0C00-000003000000}"/>
  </hyperlinks>
  <pageMargins left="0.7" right="0.7" top="0.75" bottom="0.75" header="0.3" footer="0.3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69"/>
  <sheetViews>
    <sheetView workbookViewId="0">
      <selection activeCell="D8" sqref="D8"/>
    </sheetView>
  </sheetViews>
  <sheetFormatPr baseColWidth="10" defaultRowHeight="15"/>
  <cols>
    <col min="1" max="1" width="28.140625" customWidth="1"/>
    <col min="2" max="2" width="14.5703125" bestFit="1" customWidth="1"/>
    <col min="3" max="3" width="17.42578125" bestFit="1" customWidth="1"/>
    <col min="4" max="4" width="10.5703125" bestFit="1" customWidth="1"/>
    <col min="6" max="6" width="21.140625" bestFit="1" customWidth="1"/>
    <col min="8" max="8" width="9.140625" hidden="1" customWidth="1"/>
    <col min="9" max="12" width="11.85546875" hidden="1" customWidth="1"/>
    <col min="13" max="13" width="10.5703125" bestFit="1" customWidth="1"/>
    <col min="14" max="15" width="10.5703125" customWidth="1"/>
    <col min="16" max="16" width="10.7109375" bestFit="1" customWidth="1"/>
    <col min="19" max="19" width="10.85546875" bestFit="1" customWidth="1"/>
  </cols>
  <sheetData>
    <row r="1" spans="1:19" ht="15.75" thickBot="1">
      <c r="A1" s="3" t="s">
        <v>70</v>
      </c>
      <c r="B1">
        <f>Capability!B1</f>
        <v>620</v>
      </c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18</v>
      </c>
      <c r="O1" s="2" t="s">
        <v>19</v>
      </c>
      <c r="P1" s="2" t="s">
        <v>14</v>
      </c>
      <c r="Q1" s="2" t="s">
        <v>13</v>
      </c>
      <c r="R1" s="2" t="s">
        <v>12</v>
      </c>
    </row>
    <row r="2" spans="1:19" ht="16.5" thickTop="1" thickBot="1">
      <c r="A2" s="3" t="s">
        <v>71</v>
      </c>
      <c r="B2" s="28">
        <v>1.08</v>
      </c>
      <c r="F2" t="s">
        <v>20</v>
      </c>
      <c r="G2" s="15">
        <f>Capability!G2</f>
        <v>3750</v>
      </c>
      <c r="H2" s="1">
        <f>G2*1000</f>
        <v>3750000</v>
      </c>
      <c r="I2" s="8">
        <f>Nm*(SQRT(IF(3/K_3^2*Ii^2*B3^2-(H2/Nm)^2&lt;0.0000000001,0,3/K_3^2*Ii^2*B3^2-(H2/Nm)^2))+B3^2/K_3*K_4)</f>
        <v>2683973.8854210027</v>
      </c>
      <c r="J2" s="11">
        <f>SQRT(3)*SQRT((B3/SQRT(3)*K_1+SQRT(H2^2+I2^2)/SQRT(3)/B3/Nm*I2/SQRT(H2^2+I2^2)*K_2)^2+(SQRT(H2^2+I2^2)/SQRT(3)/B3/Nm*H2/SQRT(H2^2+I2^2)*K_2)^2)</f>
        <v>729.84504830224523</v>
      </c>
      <c r="K2" s="1">
        <f>Nm*(SQRT(Vi^2*B3^2/K_2^2-(H2/Nm)^2)-B3^2*K_1/K_2)</f>
        <v>-4689.1350405011326</v>
      </c>
      <c r="L2" s="1">
        <f>IF(ABS(I2)&lt;ABS(K2),I2,K2)</f>
        <v>-4689.1350405011326</v>
      </c>
      <c r="M2" s="13">
        <f t="shared" ref="M2:N44" si="0">H2/1000</f>
        <v>3750</v>
      </c>
      <c r="N2" s="13">
        <f>I2/1000</f>
        <v>2683.9738854210027</v>
      </c>
      <c r="O2" s="13">
        <f>J2*1.43+10</f>
        <v>1053.6784190722105</v>
      </c>
      <c r="P2" s="13">
        <f t="shared" ref="P2:P44" si="1">L2/1000</f>
        <v>-4.6891350405011325</v>
      </c>
      <c r="Q2" s="13">
        <f>SQRT(M2^2+P2^2)</f>
        <v>3750.0029317305111</v>
      </c>
      <c r="R2" s="9">
        <f>M2/SQRT(M2^2+P2^2)</f>
        <v>0.99999921820580828</v>
      </c>
      <c r="S2" s="10" t="s">
        <v>15</v>
      </c>
    </row>
    <row r="3" spans="1:19" ht="16.5" thickTop="1" thickBot="1">
      <c r="A3" s="21" t="s">
        <v>67</v>
      </c>
      <c r="B3" s="21">
        <f>$B$1*B2</f>
        <v>669.6</v>
      </c>
      <c r="F3" t="s">
        <v>21</v>
      </c>
      <c r="G3" s="15">
        <f>Capability!G3</f>
        <v>2846</v>
      </c>
      <c r="H3" s="1">
        <f>G3*1000</f>
        <v>2846000</v>
      </c>
      <c r="I3" s="8">
        <f>Nm*(-SQRT(IF(3/K_3^2*Ii^2*B3^2-(H3/Nm)^2&lt;0.0000000001,0,3/K_3^2*Ii^2*B3^2-(H3/Nm)^2))+B3^2/K_3*K_4)</f>
        <v>-2761736.836031164</v>
      </c>
      <c r="J3" s="12">
        <f>SQRT(3)*SQRT((B3/SQRT(3)*K_1+SQRT(H3^2+I3^2)/SQRT(3)/B3/Nm*I3/SQRT(H3^2+I3^2)*K_2)^2+(SQRT(H3^2+I3^2)/SQRT(3)/B3/Nm*H3/SQRT(H3^2+I3^2)*K_2)^2)</f>
        <v>596.49336569249863</v>
      </c>
      <c r="K3" s="1">
        <f>Nm*(-SQRT(Vi^2*B3^2/K_2^2-(H3/Nm)^2)-B3^2*K_1/K_2)</f>
        <v>-54635242.279036745</v>
      </c>
      <c r="L3" s="1">
        <f>IF(ABS(I3)&lt;ABS(K3),I3,K3)</f>
        <v>-2761736.836031164</v>
      </c>
      <c r="M3" s="13">
        <f t="shared" si="0"/>
        <v>2846</v>
      </c>
      <c r="N3" s="13">
        <f t="shared" si="0"/>
        <v>-2761.7368360311639</v>
      </c>
      <c r="O3" s="13">
        <f t="shared" ref="O3:O44" si="2">J3*1.43+10</f>
        <v>862.985512940273</v>
      </c>
      <c r="P3" s="13">
        <f t="shared" si="1"/>
        <v>-2761.7368360311639</v>
      </c>
      <c r="Q3" s="13">
        <f>SQRT(M3^2+P3^2)</f>
        <v>3965.7163730518378</v>
      </c>
      <c r="R3" s="9">
        <f>M3/SQRT(M3^2+P3^2)</f>
        <v>0.71765091909733469</v>
      </c>
      <c r="S3" s="10" t="s">
        <v>16</v>
      </c>
    </row>
    <row r="4" spans="1:19" ht="16.5" thickTop="1" thickBot="1">
      <c r="A4" s="3" t="s">
        <v>11</v>
      </c>
      <c r="B4" s="6">
        <f>Nm</f>
        <v>3</v>
      </c>
      <c r="F4" s="16"/>
      <c r="H4" s="33">
        <f>'V_1,1pu_DIG'!H4</f>
        <v>0</v>
      </c>
      <c r="I4" s="8">
        <f t="shared" ref="I4:I36" si="3">Nm*(SQRT(IF(3/K_3^2*Ii^2*$B$3^2-(H4/Nm)^2&lt;0.0000000001,0,3/K_3^2*Ii^2*$B$3^2-(H4/Nm)^2))+$B$3^2/K_3*K_4)</f>
        <v>4843888.3153380733</v>
      </c>
      <c r="J4" s="12">
        <f t="shared" ref="J4:J35" si="4">SQRT(3)*SQRT(($B$3/SQRT(3)*K_1+SQRT(H4^2+I4^2)/SQRT(3)/$B$3/Nm*I4/SQRT(H4^2+I4^2)*K_2)^2+(SQRT(H4^2+I4^2)/SQRT(3)/$B$3/Nm*H4/SQRT(H4^2+I4^2)*K_2)^2)</f>
        <v>776.41802502279847</v>
      </c>
      <c r="K4" s="1">
        <f t="shared" ref="K4:K36" si="5">Nm*(SQRT(Vi^2*$B$3^2/K_2^2-(H4/Nm)^2)-$B$3^2*K_1/K_2)</f>
        <v>252028.31320279464</v>
      </c>
      <c r="L4" s="1">
        <f>IF(ABS(I4)&lt;ABS(K4),I4,K4)</f>
        <v>252028.31320279464</v>
      </c>
      <c r="M4" s="14">
        <f t="shared" si="0"/>
        <v>0</v>
      </c>
      <c r="N4" s="14">
        <f t="shared" si="0"/>
        <v>4843.888315338073</v>
      </c>
      <c r="O4" s="14">
        <f t="shared" si="2"/>
        <v>1120.2777757826018</v>
      </c>
      <c r="P4" s="14">
        <f t="shared" si="1"/>
        <v>252.02831320279464</v>
      </c>
      <c r="Q4" s="14">
        <f t="shared" ref="Q4:Q44" si="6">SQRT(M4^2+P4^2)</f>
        <v>252.02831320279464</v>
      </c>
      <c r="R4" s="7">
        <f>M4/SQRT(M4^2+P4^2)</f>
        <v>0</v>
      </c>
    </row>
    <row r="5" spans="1:19" ht="16.5" thickTop="1" thickBot="1">
      <c r="A5" s="3" t="s">
        <v>1</v>
      </c>
      <c r="B5" s="6">
        <f>Capability!B5</f>
        <v>50</v>
      </c>
      <c r="C5" s="1" t="s">
        <v>32</v>
      </c>
      <c r="D5" s="1">
        <f>2*PI()*B5</f>
        <v>314.15926535897933</v>
      </c>
      <c r="F5" s="16"/>
      <c r="H5" s="33">
        <f>'V_1,1pu_DIG'!H5</f>
        <v>221434.52849412672</v>
      </c>
      <c r="I5" s="8">
        <f t="shared" si="3"/>
        <v>4838229.4987929184</v>
      </c>
      <c r="J5" s="12">
        <f t="shared" si="4"/>
        <v>776.29965781692056</v>
      </c>
      <c r="K5" s="1">
        <f t="shared" si="5"/>
        <v>251137.34952098876</v>
      </c>
      <c r="L5" s="1">
        <f t="shared" ref="L5:L44" si="7">IF(ABS(I5)&lt;ABS(K5),I5,K5)</f>
        <v>251137.34952098876</v>
      </c>
      <c r="M5" s="14">
        <f t="shared" si="0"/>
        <v>221.43452849412671</v>
      </c>
      <c r="N5" s="14">
        <f t="shared" si="0"/>
        <v>4838.2294987929181</v>
      </c>
      <c r="O5" s="14">
        <f t="shared" si="2"/>
        <v>1120.1085106781964</v>
      </c>
      <c r="P5" s="14">
        <f t="shared" si="1"/>
        <v>251.13734952098875</v>
      </c>
      <c r="Q5" s="14">
        <f t="shared" si="6"/>
        <v>334.81818757923452</v>
      </c>
      <c r="R5" s="7">
        <f t="shared" ref="R5:R44" si="8">M5/SQRT(M5^2+P5^2)</f>
        <v>0.66135752688681038</v>
      </c>
    </row>
    <row r="6" spans="1:19" ht="16.5" thickTop="1" thickBot="1">
      <c r="A6" s="3" t="s">
        <v>0</v>
      </c>
      <c r="B6" s="6">
        <f>Capability!B6</f>
        <v>2700</v>
      </c>
      <c r="F6" s="16"/>
      <c r="H6" s="33">
        <f>'V_1,1pu_DIG'!H6</f>
        <v>442869.05698825343</v>
      </c>
      <c r="I6" s="8">
        <f t="shared" si="3"/>
        <v>4821208.4979398279</v>
      </c>
      <c r="J6" s="12">
        <f t="shared" si="4"/>
        <v>775.94351547088922</v>
      </c>
      <c r="K6" s="1">
        <f t="shared" si="5"/>
        <v>248464.28536651097</v>
      </c>
      <c r="L6" s="1">
        <f t="shared" si="7"/>
        <v>248464.28536651097</v>
      </c>
      <c r="M6" s="14">
        <f t="shared" si="0"/>
        <v>442.86905698825342</v>
      </c>
      <c r="N6" s="14">
        <f t="shared" si="0"/>
        <v>4821.2084979398278</v>
      </c>
      <c r="O6" s="14">
        <f t="shared" si="2"/>
        <v>1119.5992271233715</v>
      </c>
      <c r="P6" s="14">
        <f t="shared" si="1"/>
        <v>248.46428536651098</v>
      </c>
      <c r="Q6" s="14">
        <f t="shared" si="6"/>
        <v>507.8065603557676</v>
      </c>
      <c r="R6" s="7">
        <f t="shared" si="8"/>
        <v>0.8721215745578017</v>
      </c>
    </row>
    <row r="7" spans="1:19" ht="16.5" thickTop="1" thickBot="1">
      <c r="A7" s="3" t="s">
        <v>43</v>
      </c>
      <c r="B7" s="6">
        <f>Capability!B7</f>
        <v>33</v>
      </c>
      <c r="C7" s="1" t="s">
        <v>40</v>
      </c>
      <c r="D7" s="1">
        <f>B7+aux!C6</f>
        <v>44.25</v>
      </c>
      <c r="F7" s="16"/>
      <c r="H7" s="33">
        <f>'V_1,1pu_DIG'!H7</f>
        <v>664303.58548238012</v>
      </c>
      <c r="I7" s="8">
        <f t="shared" si="3"/>
        <v>4792689.8867600746</v>
      </c>
      <c r="J7" s="12">
        <f t="shared" si="4"/>
        <v>775.34643389058795</v>
      </c>
      <c r="K7" s="1">
        <f t="shared" si="5"/>
        <v>244008.60124398954</v>
      </c>
      <c r="L7" s="1">
        <f t="shared" si="7"/>
        <v>244008.60124398954</v>
      </c>
      <c r="M7" s="14">
        <f t="shared" si="0"/>
        <v>664.30358548238007</v>
      </c>
      <c r="N7" s="14">
        <f t="shared" si="0"/>
        <v>4792.6898867600748</v>
      </c>
      <c r="O7" s="14">
        <f t="shared" si="2"/>
        <v>1118.7454004635408</v>
      </c>
      <c r="P7" s="14">
        <f t="shared" si="1"/>
        <v>244.00860124398955</v>
      </c>
      <c r="Q7" s="14">
        <f t="shared" si="6"/>
        <v>707.70011386589033</v>
      </c>
      <c r="R7" s="7">
        <f t="shared" si="8"/>
        <v>0.93867949498205971</v>
      </c>
    </row>
    <row r="8" spans="1:19" ht="16.5" thickTop="1" thickBot="1">
      <c r="A8" s="3" t="s">
        <v>41</v>
      </c>
      <c r="B8" s="6">
        <f>Capability!B8</f>
        <v>951.5</v>
      </c>
      <c r="C8" s="1" t="s">
        <v>33</v>
      </c>
      <c r="D8" s="1">
        <f>IF(B8&gt;1250,1250,IF(B8&lt;B3*1.43,B3*1.43,B8))</f>
        <v>957.52800000000002</v>
      </c>
      <c r="F8" s="16"/>
      <c r="H8" s="33">
        <f>'V_1,1pu_DIG'!H8</f>
        <v>885738.11397650687</v>
      </c>
      <c r="I8" s="8">
        <f t="shared" si="3"/>
        <v>4752441.880148381</v>
      </c>
      <c r="J8" s="12">
        <f t="shared" si="4"/>
        <v>774.50299592096803</v>
      </c>
      <c r="K8" s="1">
        <f t="shared" si="5"/>
        <v>237769.43076668121</v>
      </c>
      <c r="L8" s="1">
        <f t="shared" si="7"/>
        <v>237769.43076668121</v>
      </c>
      <c r="M8" s="14">
        <f t="shared" si="0"/>
        <v>885.73811397650684</v>
      </c>
      <c r="N8" s="14">
        <f t="shared" si="0"/>
        <v>4752.4418801483807</v>
      </c>
      <c r="O8" s="14">
        <f t="shared" si="2"/>
        <v>1117.5392841669843</v>
      </c>
      <c r="P8" s="14">
        <f t="shared" si="1"/>
        <v>237.76943076668121</v>
      </c>
      <c r="Q8" s="14">
        <f t="shared" si="6"/>
        <v>917.09667361613026</v>
      </c>
      <c r="R8" s="7">
        <f t="shared" si="8"/>
        <v>0.96580670223568033</v>
      </c>
    </row>
    <row r="9" spans="1:19" ht="16.5" thickTop="1" thickBot="1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H9" s="33">
        <f>'V_1,1pu_DIG'!H9</f>
        <v>1107172.6424706336</v>
      </c>
      <c r="I9" s="8">
        <f t="shared" si="3"/>
        <v>4700126.6071293978</v>
      </c>
      <c r="J9" s="12">
        <f t="shared" si="4"/>
        <v>773.40530126927467</v>
      </c>
      <c r="K9" s="1">
        <f t="shared" si="5"/>
        <v>229745.55981354229</v>
      </c>
      <c r="L9" s="1">
        <f t="shared" si="7"/>
        <v>229745.55981354229</v>
      </c>
      <c r="M9" s="14">
        <f t="shared" si="0"/>
        <v>1107.1726424706337</v>
      </c>
      <c r="N9" s="14">
        <f t="shared" si="0"/>
        <v>4700.1266071293976</v>
      </c>
      <c r="O9" s="14">
        <f t="shared" si="2"/>
        <v>1115.9695808150627</v>
      </c>
      <c r="P9" s="14">
        <f t="shared" si="1"/>
        <v>229.74555981354229</v>
      </c>
      <c r="Q9" s="14">
        <f t="shared" si="6"/>
        <v>1130.7582776568313</v>
      </c>
      <c r="R9" s="7">
        <f t="shared" si="8"/>
        <v>0.97914175323565</v>
      </c>
    </row>
    <row r="10" spans="1:19" ht="16.5" thickTop="1" thickBot="1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1.1462359999999998</v>
      </c>
      <c r="F10" s="16"/>
      <c r="H10" s="33">
        <f>'V_1,1pu_DIG'!H10</f>
        <v>1328607.1709647602</v>
      </c>
      <c r="I10" s="8">
        <f t="shared" si="3"/>
        <v>4635285.1524248291</v>
      </c>
      <c r="J10" s="12">
        <f t="shared" si="4"/>
        <v>772.04261256102939</v>
      </c>
      <c r="K10" s="1">
        <f t="shared" si="5"/>
        <v>219935.42534632422</v>
      </c>
      <c r="L10" s="1">
        <f t="shared" si="7"/>
        <v>219935.42534632422</v>
      </c>
      <c r="M10" s="14">
        <f t="shared" si="0"/>
        <v>1328.6071709647601</v>
      </c>
      <c r="N10" s="14">
        <f t="shared" si="0"/>
        <v>4635.285152424829</v>
      </c>
      <c r="O10" s="14">
        <f t="shared" si="2"/>
        <v>1114.020935962272</v>
      </c>
      <c r="P10" s="14">
        <f t="shared" si="1"/>
        <v>219.93542534632422</v>
      </c>
      <c r="Q10" s="14">
        <f t="shared" si="6"/>
        <v>1346.6880136324271</v>
      </c>
      <c r="R10" s="7">
        <f t="shared" si="8"/>
        <v>0.98657384450991181</v>
      </c>
    </row>
    <row r="11" spans="1:19" ht="16.5" thickTop="1" thickBot="1">
      <c r="A11" s="21" t="s">
        <v>49</v>
      </c>
      <c r="B11" s="20">
        <f>B9*B10</f>
        <v>1.1972889875555552</v>
      </c>
      <c r="F11" s="16"/>
      <c r="H11" s="33">
        <f>'V_1,1pu_DIG'!H11</f>
        <v>1550041.6994588869</v>
      </c>
      <c r="I11" s="8">
        <f t="shared" si="3"/>
        <v>4557315.7294712439</v>
      </c>
      <c r="J11" s="12">
        <f t="shared" si="4"/>
        <v>770.40083865304359</v>
      </c>
      <c r="K11" s="1">
        <f t="shared" si="5"/>
        <v>208337.11388420686</v>
      </c>
      <c r="L11" s="1">
        <f t="shared" si="7"/>
        <v>208337.11388420686</v>
      </c>
      <c r="M11" s="14">
        <f t="shared" si="0"/>
        <v>1550.0416994588868</v>
      </c>
      <c r="N11" s="14">
        <f t="shared" si="0"/>
        <v>4557.3157294712437</v>
      </c>
      <c r="O11" s="14">
        <f t="shared" si="2"/>
        <v>1111.6731992738523</v>
      </c>
      <c r="P11" s="14">
        <f t="shared" si="1"/>
        <v>208.33711388420687</v>
      </c>
      <c r="Q11" s="14">
        <f t="shared" si="6"/>
        <v>1563.9800584032375</v>
      </c>
      <c r="R11" s="7">
        <f t="shared" si="8"/>
        <v>0.99108789215728155</v>
      </c>
    </row>
    <row r="12" spans="1:19" ht="16.5" thickTop="1" thickBot="1">
      <c r="A12" s="3" t="s">
        <v>44</v>
      </c>
      <c r="B12" s="6">
        <f>Capability!B12</f>
        <v>-5</v>
      </c>
      <c r="C12" s="1" t="s">
        <v>39</v>
      </c>
      <c r="D12" s="1">
        <f>B12+aux!C6</f>
        <v>6.25</v>
      </c>
      <c r="F12" s="16"/>
      <c r="H12" s="33">
        <f>'V_1,1pu_DIG'!H12</f>
        <v>1771476.2279530135</v>
      </c>
      <c r="I12" s="8">
        <f t="shared" si="3"/>
        <v>4465442.3572796173</v>
      </c>
      <c r="J12" s="12">
        <f t="shared" si="4"/>
        <v>768.46179277838826</v>
      </c>
      <c r="K12" s="1">
        <f t="shared" si="5"/>
        <v>194948.35963230394</v>
      </c>
      <c r="L12" s="1">
        <f t="shared" si="7"/>
        <v>194948.35963230394</v>
      </c>
      <c r="M12" s="14">
        <f t="shared" si="0"/>
        <v>1771.4762279530134</v>
      </c>
      <c r="N12" s="14">
        <f t="shared" si="0"/>
        <v>4465.4423572796177</v>
      </c>
      <c r="O12" s="14">
        <f t="shared" si="2"/>
        <v>1108.9003636730952</v>
      </c>
      <c r="P12" s="14">
        <f t="shared" si="1"/>
        <v>194.94835963230395</v>
      </c>
      <c r="Q12" s="14">
        <f t="shared" si="6"/>
        <v>1782.1708361226099</v>
      </c>
      <c r="R12" s="7">
        <f t="shared" si="8"/>
        <v>0.99399911167165977</v>
      </c>
    </row>
    <row r="13" spans="1:19" ht="16.5" thickTop="1" thickBot="1">
      <c r="A13" s="3" t="s">
        <v>42</v>
      </c>
      <c r="B13" s="19">
        <f>Capability!B13</f>
        <v>1130</v>
      </c>
      <c r="C13" s="1" t="s">
        <v>48</v>
      </c>
      <c r="D13" s="1">
        <f>IF(B13&gt;1250,1250,IF(B13&lt;B3*1.43,B3*1.43,B13))</f>
        <v>1130</v>
      </c>
      <c r="F13" s="16"/>
      <c r="H13" s="33">
        <f>'V_1,1pu_DIG'!H13</f>
        <v>1992910.7564471401</v>
      </c>
      <c r="I13" s="8">
        <f t="shared" si="3"/>
        <v>4358669.8054007497</v>
      </c>
      <c r="J13" s="12">
        <f t="shared" si="4"/>
        <v>766.20212485613877</v>
      </c>
      <c r="K13" s="1">
        <f t="shared" si="5"/>
        <v>179766.54225988872</v>
      </c>
      <c r="L13" s="1">
        <f t="shared" si="7"/>
        <v>179766.54225988872</v>
      </c>
      <c r="M13" s="14">
        <f t="shared" si="0"/>
        <v>1992.9107564471401</v>
      </c>
      <c r="N13" s="14">
        <f t="shared" si="0"/>
        <v>4358.6698054007493</v>
      </c>
      <c r="O13" s="14">
        <f t="shared" si="2"/>
        <v>1105.6690385442785</v>
      </c>
      <c r="P13" s="14">
        <f t="shared" si="1"/>
        <v>179.76654225988872</v>
      </c>
      <c r="Q13" s="14">
        <f t="shared" si="6"/>
        <v>2001.0020721825324</v>
      </c>
      <c r="R13" s="7">
        <f t="shared" si="8"/>
        <v>0.99595636813780664</v>
      </c>
    </row>
    <row r="14" spans="1:19" ht="16.5" thickTop="1" thickBot="1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H14" s="33">
        <f>'V_1,1pu_DIG'!H14</f>
        <v>2214345.2849412668</v>
      </c>
      <c r="I14" s="8">
        <f t="shared" si="3"/>
        <v>4235717.8237642571</v>
      </c>
      <c r="J14" s="12">
        <f t="shared" si="4"/>
        <v>763.59176193516021</v>
      </c>
      <c r="K14" s="1">
        <f t="shared" si="5"/>
        <v>162788.68432318233</v>
      </c>
      <c r="L14" s="1">
        <f t="shared" si="7"/>
        <v>162788.68432318233</v>
      </c>
      <c r="M14" s="14">
        <f t="shared" si="0"/>
        <v>2214.345284941267</v>
      </c>
      <c r="N14" s="14">
        <f t="shared" si="0"/>
        <v>4235.7178237642574</v>
      </c>
      <c r="O14" s="14">
        <f t="shared" si="2"/>
        <v>1101.9362195672791</v>
      </c>
      <c r="P14" s="14">
        <f t="shared" si="1"/>
        <v>162.78868432318234</v>
      </c>
      <c r="Q14" s="14">
        <f t="shared" si="6"/>
        <v>2220.3209670417682</v>
      </c>
      <c r="R14" s="7">
        <f t="shared" si="8"/>
        <v>0.99730864042217149</v>
      </c>
    </row>
    <row r="15" spans="1:19" ht="16.5" thickTop="1" thickBot="1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H15" s="33">
        <f>'V_1,1pu_DIG'!H15</f>
        <v>2435779.8134353934</v>
      </c>
      <c r="I15" s="8">
        <f t="shared" si="3"/>
        <v>4094922.734817002</v>
      </c>
      <c r="J15" s="12">
        <f t="shared" si="4"/>
        <v>760.59157318764017</v>
      </c>
      <c r="K15" s="1">
        <f t="shared" si="5"/>
        <v>144011.44832674228</v>
      </c>
      <c r="L15" s="1">
        <f t="shared" si="7"/>
        <v>144011.44832674228</v>
      </c>
      <c r="M15" s="14">
        <f t="shared" si="0"/>
        <v>2435.7798134353934</v>
      </c>
      <c r="N15" s="14">
        <f t="shared" si="0"/>
        <v>4094.922734817002</v>
      </c>
      <c r="O15" s="14">
        <f t="shared" si="2"/>
        <v>1097.6459496583254</v>
      </c>
      <c r="P15" s="14">
        <f t="shared" si="1"/>
        <v>144.01144832674228</v>
      </c>
      <c r="Q15" s="14">
        <f t="shared" si="6"/>
        <v>2440.0333187865544</v>
      </c>
      <c r="R15" s="7">
        <f t="shared" si="8"/>
        <v>0.99825678390601802</v>
      </c>
    </row>
    <row r="16" spans="1:19" ht="16.5" thickTop="1" thickBot="1">
      <c r="A16" s="21" t="s">
        <v>50</v>
      </c>
      <c r="B16" s="20">
        <f>B14*B15</f>
        <v>1.1831619047619049</v>
      </c>
      <c r="F16" s="16"/>
      <c r="H16" s="33">
        <f>'V_1,1pu_DIG'!H16</f>
        <v>2657214.34192952</v>
      </c>
      <c r="I16" s="8">
        <f t="shared" si="3"/>
        <v>3934085.0739486748</v>
      </c>
      <c r="J16" s="12">
        <f t="shared" si="4"/>
        <v>757.14975227364891</v>
      </c>
      <c r="K16" s="1">
        <f t="shared" si="5"/>
        <v>123431.13341667876</v>
      </c>
      <c r="L16" s="1">
        <f t="shared" si="7"/>
        <v>123431.13341667876</v>
      </c>
      <c r="M16" s="14">
        <f t="shared" si="0"/>
        <v>2657.2143419295198</v>
      </c>
      <c r="N16" s="14">
        <f t="shared" si="0"/>
        <v>3934.085073948675</v>
      </c>
      <c r="O16" s="14">
        <f t="shared" si="2"/>
        <v>1092.7241457513178</v>
      </c>
      <c r="P16" s="14">
        <f t="shared" si="1"/>
        <v>123.43113341667876</v>
      </c>
      <c r="Q16" s="14">
        <f t="shared" si="6"/>
        <v>2660.0795671656997</v>
      </c>
      <c r="R16" s="7">
        <f t="shared" si="8"/>
        <v>0.99892287987489303</v>
      </c>
    </row>
    <row r="17" spans="1:18" ht="16.5" thickTop="1" thickBot="1">
      <c r="A17" s="21"/>
      <c r="B17" s="20"/>
      <c r="F17" s="16"/>
      <c r="H17" s="33">
        <f>'V_1,1pu_DIG'!H17</f>
        <v>2878648.8704236466</v>
      </c>
      <c r="I17" s="8">
        <f t="shared" si="3"/>
        <v>3750222.8975485582</v>
      </c>
      <c r="J17" s="12">
        <f t="shared" si="4"/>
        <v>753.19595578774249</v>
      </c>
      <c r="K17" s="1">
        <f t="shared" si="5"/>
        <v>101043.67169797607</v>
      </c>
      <c r="L17" s="1">
        <f t="shared" si="7"/>
        <v>101043.67169797607</v>
      </c>
      <c r="M17" s="14">
        <f t="shared" si="0"/>
        <v>2878.6488704236467</v>
      </c>
      <c r="N17" s="14">
        <f t="shared" si="0"/>
        <v>3750.2228975485582</v>
      </c>
      <c r="O17" s="14">
        <f t="shared" si="2"/>
        <v>1087.0702167764716</v>
      </c>
      <c r="P17" s="14">
        <f t="shared" si="1"/>
        <v>101.04367169797607</v>
      </c>
      <c r="Q17" s="14">
        <f t="shared" si="6"/>
        <v>2880.4216953046207</v>
      </c>
      <c r="R17" s="7">
        <f t="shared" si="8"/>
        <v>0.99938452592415061</v>
      </c>
    </row>
    <row r="18" spans="1:18" ht="20.25" thickTop="1" thickBot="1">
      <c r="A18" s="23" t="s">
        <v>53</v>
      </c>
      <c r="B18" s="24">
        <f>MIN(B16,B11)</f>
        <v>1.1831619047619049</v>
      </c>
      <c r="F18" s="16"/>
      <c r="H18" s="33">
        <f>'V_1,1pu_DIG'!H18</f>
        <v>3100083.3989177733</v>
      </c>
      <c r="I18" s="8">
        <f t="shared" si="3"/>
        <v>3539148.4428326199</v>
      </c>
      <c r="J18" s="12">
        <f t="shared" si="4"/>
        <v>748.6312373697524</v>
      </c>
      <c r="K18" s="1">
        <f t="shared" si="5"/>
        <v>76844.624167280272</v>
      </c>
      <c r="L18" s="1">
        <f t="shared" si="7"/>
        <v>76844.624167280272</v>
      </c>
      <c r="M18" s="14">
        <f t="shared" si="0"/>
        <v>3100.0833989177731</v>
      </c>
      <c r="N18" s="14">
        <f t="shared" si="0"/>
        <v>3539.1484428326198</v>
      </c>
      <c r="O18" s="14">
        <f t="shared" si="2"/>
        <v>1080.5426694387459</v>
      </c>
      <c r="P18" s="14">
        <f t="shared" si="1"/>
        <v>76.844624167280273</v>
      </c>
      <c r="Q18" s="14">
        <f t="shared" si="6"/>
        <v>3101.0356619215108</v>
      </c>
      <c r="R18" s="7">
        <f t="shared" si="8"/>
        <v>0.99969292097623041</v>
      </c>
    </row>
    <row r="19" spans="1:18" ht="16.5" thickTop="1" thickBot="1">
      <c r="A19" s="21"/>
      <c r="B19" s="20"/>
      <c r="F19" s="16"/>
      <c r="H19" s="33">
        <f>'V_1,1pu_DIG'!H19</f>
        <v>3321517.9274118999</v>
      </c>
      <c r="I19" s="8">
        <f t="shared" si="3"/>
        <v>3294683.7445652671</v>
      </c>
      <c r="J19" s="12">
        <f t="shared" si="4"/>
        <v>743.30938410999943</v>
      </c>
      <c r="K19" s="1">
        <f t="shared" si="5"/>
        <v>50829.176251547411</v>
      </c>
      <c r="L19" s="1">
        <f t="shared" si="7"/>
        <v>50829.176251547411</v>
      </c>
      <c r="M19" s="14">
        <f t="shared" si="0"/>
        <v>3321.5179274119</v>
      </c>
      <c r="N19" s="14">
        <f t="shared" si="0"/>
        <v>3294.6837445652673</v>
      </c>
      <c r="O19" s="14">
        <f t="shared" si="2"/>
        <v>1072.9324192772992</v>
      </c>
      <c r="P19" s="14">
        <f t="shared" si="1"/>
        <v>50.829176251547409</v>
      </c>
      <c r="Q19" s="14">
        <f t="shared" si="6"/>
        <v>3321.9068239908615</v>
      </c>
      <c r="R19" s="7">
        <f t="shared" si="8"/>
        <v>0.99988292971489967</v>
      </c>
    </row>
    <row r="20" spans="1:18" ht="16.5" thickTop="1" thickBot="1">
      <c r="A20" s="21" t="s">
        <v>36</v>
      </c>
      <c r="B20" s="4">
        <f>(D8-10)/1.43</f>
        <v>662.60699300699309</v>
      </c>
      <c r="F20" s="16"/>
      <c r="H20" s="33">
        <f>'V_1,1pu_DIG'!H20</f>
        <v>3542952.4559060265</v>
      </c>
      <c r="I20" s="8">
        <f t="shared" si="3"/>
        <v>3007046.6040427252</v>
      </c>
      <c r="J20" s="12">
        <f t="shared" si="4"/>
        <v>736.99848561592114</v>
      </c>
      <c r="K20" s="1">
        <f t="shared" si="5"/>
        <v>22992.132941991091</v>
      </c>
      <c r="L20" s="1">
        <f t="shared" si="7"/>
        <v>22992.132941991091</v>
      </c>
      <c r="M20" s="14">
        <f t="shared" si="0"/>
        <v>3542.9524559060264</v>
      </c>
      <c r="N20" s="14">
        <f t="shared" si="0"/>
        <v>3007.046604042725</v>
      </c>
      <c r="O20" s="14">
        <f t="shared" si="2"/>
        <v>1063.9078344307673</v>
      </c>
      <c r="P20" s="14">
        <f t="shared" si="1"/>
        <v>22.992132941991091</v>
      </c>
      <c r="Q20" s="14">
        <f t="shared" si="6"/>
        <v>3543.027059307869</v>
      </c>
      <c r="R20" s="7">
        <f t="shared" si="8"/>
        <v>0.99997894359806072</v>
      </c>
    </row>
    <row r="21" spans="1:18" ht="16.5" thickTop="1" thickBot="1">
      <c r="A21" s="21" t="s">
        <v>34</v>
      </c>
      <c r="B21" s="5">
        <f>IF(B25=1,(IF(B9*B10&gt;B18,B18,B9*B10))*Ii_r,B26)</f>
        <v>1242.3200000000002</v>
      </c>
      <c r="F21" s="16"/>
      <c r="H21" s="33">
        <f>'V_1,1pu_DIG'!H21</f>
        <v>3598311.0880295583</v>
      </c>
      <c r="I21" s="8">
        <f t="shared" si="3"/>
        <v>2926637.6027272865</v>
      </c>
      <c r="J21" s="12">
        <f t="shared" si="4"/>
        <v>735.22458481670469</v>
      </c>
      <c r="K21" s="1">
        <f t="shared" si="5"/>
        <v>15747.602397881448</v>
      </c>
      <c r="L21" s="1">
        <f t="shared" si="7"/>
        <v>15747.602397881448</v>
      </c>
      <c r="M21" s="14">
        <f t="shared" si="0"/>
        <v>3598.3110880295585</v>
      </c>
      <c r="N21" s="14">
        <f t="shared" si="0"/>
        <v>2926.6376027272863</v>
      </c>
      <c r="O21" s="14">
        <f t="shared" si="2"/>
        <v>1061.3711562878877</v>
      </c>
      <c r="P21" s="14">
        <f t="shared" si="1"/>
        <v>15.747602397881447</v>
      </c>
      <c r="Q21" s="14">
        <f t="shared" si="6"/>
        <v>3598.3455466669329</v>
      </c>
      <c r="R21" s="7">
        <f t="shared" si="8"/>
        <v>0.99999042375532654</v>
      </c>
    </row>
    <row r="22" spans="1:18" ht="20.25" thickTop="1" thickBot="1">
      <c r="A22" s="21" t="s">
        <v>59</v>
      </c>
      <c r="B22" s="1">
        <f>Nm*SQRT(3)*B3*Ii/K_3^2</f>
        <v>4348168.9231573977</v>
      </c>
      <c r="C22" s="25" t="s">
        <v>74</v>
      </c>
      <c r="D22" s="26">
        <f>B22/1000</f>
        <v>4348.1689231573973</v>
      </c>
      <c r="F22" s="16"/>
      <c r="H22" s="33">
        <f>'V_1,1pu_DIG'!H22</f>
        <v>3653669.7201530901</v>
      </c>
      <c r="I22" s="8">
        <f t="shared" si="3"/>
        <v>2842148.1905060937</v>
      </c>
      <c r="J22" s="12">
        <f t="shared" si="4"/>
        <v>733.3560432048248</v>
      </c>
      <c r="K22" s="1">
        <f t="shared" si="5"/>
        <v>8388.7842576485127</v>
      </c>
      <c r="L22" s="1">
        <f t="shared" si="7"/>
        <v>8388.7842576485127</v>
      </c>
      <c r="M22" s="14">
        <f t="shared" si="0"/>
        <v>3653.6697201530901</v>
      </c>
      <c r="N22" s="14">
        <f t="shared" si="0"/>
        <v>2842.1481905060937</v>
      </c>
      <c r="O22" s="14">
        <f t="shared" si="2"/>
        <v>1058.6991417828995</v>
      </c>
      <c r="P22" s="14">
        <f t="shared" si="1"/>
        <v>8.3887842576485134</v>
      </c>
      <c r="Q22" s="14">
        <f t="shared" si="6"/>
        <v>3653.6793504171765</v>
      </c>
      <c r="R22" s="7">
        <f t="shared" si="8"/>
        <v>0.99999736422844954</v>
      </c>
    </row>
    <row r="23" spans="1:18" ht="20.25" thickTop="1" thickBot="1">
      <c r="A23" s="21" t="s">
        <v>51</v>
      </c>
      <c r="B23" s="1">
        <f>B3*Ii*SQRT(3)*Nm</f>
        <v>4322458.2184794145</v>
      </c>
      <c r="C23" s="25" t="s">
        <v>52</v>
      </c>
      <c r="D23" s="26">
        <f>B23/1000</f>
        <v>4322.4582184794144</v>
      </c>
      <c r="F23" s="16"/>
      <c r="H23" s="33">
        <f>'V_1,1pu_DIG'!H23</f>
        <v>3709028.3522766219</v>
      </c>
      <c r="I23" s="8">
        <f t="shared" si="3"/>
        <v>2753117.6244786484</v>
      </c>
      <c r="J23" s="12">
        <f t="shared" si="4"/>
        <v>731.38190532748331</v>
      </c>
      <c r="K23" s="1">
        <f t="shared" si="5"/>
        <v>915.58598713204265</v>
      </c>
      <c r="L23" s="1">
        <f t="shared" si="7"/>
        <v>915.58598713204265</v>
      </c>
      <c r="M23" s="14">
        <f t="shared" si="0"/>
        <v>3709.0283522766217</v>
      </c>
      <c r="N23" s="14">
        <f t="shared" si="0"/>
        <v>2753.1176244786484</v>
      </c>
      <c r="O23" s="14">
        <f t="shared" si="2"/>
        <v>1055.876124618301</v>
      </c>
      <c r="P23" s="14">
        <f t="shared" si="1"/>
        <v>0.91558598713204264</v>
      </c>
      <c r="Q23" s="14">
        <f t="shared" si="6"/>
        <v>3709.0284652843434</v>
      </c>
      <c r="R23" s="7">
        <f t="shared" si="8"/>
        <v>0.99999996953171899</v>
      </c>
    </row>
    <row r="24" spans="1:18" ht="16.5" thickTop="1" thickBot="1">
      <c r="A24" s="27"/>
      <c r="F24" s="16"/>
      <c r="H24" s="33">
        <f>'V_1,1pu_DIG'!H24</f>
        <v>3764386.9844001536</v>
      </c>
      <c r="I24" s="8">
        <f t="shared" si="3"/>
        <v>2658981.9388039997</v>
      </c>
      <c r="J24" s="12">
        <f t="shared" si="4"/>
        <v>729.28875574965775</v>
      </c>
      <c r="K24" s="1">
        <f t="shared" si="5"/>
        <v>-6672.0864883717149</v>
      </c>
      <c r="L24" s="1">
        <f t="shared" si="7"/>
        <v>-6672.0864883717149</v>
      </c>
      <c r="M24" s="14">
        <f t="shared" si="0"/>
        <v>3764.3869844001538</v>
      </c>
      <c r="N24" s="14">
        <f t="shared" si="0"/>
        <v>2658.9819388039996</v>
      </c>
      <c r="O24" s="14">
        <f t="shared" si="2"/>
        <v>1052.8829207220106</v>
      </c>
      <c r="P24" s="14">
        <f t="shared" si="1"/>
        <v>-6.6720864883717148</v>
      </c>
      <c r="Q24" s="14">
        <f t="shared" si="6"/>
        <v>3764.3928972756535</v>
      </c>
      <c r="R24" s="7">
        <f t="shared" si="8"/>
        <v>0.99999842926185945</v>
      </c>
    </row>
    <row r="25" spans="1:18" ht="16.5" thickTop="1" thickBot="1">
      <c r="A25" s="3" t="s">
        <v>38</v>
      </c>
      <c r="B25" s="6">
        <f>Capability!B25</f>
        <v>1</v>
      </c>
      <c r="F25" s="16"/>
      <c r="H25" s="33">
        <f>'V_1,1pu_DIG'!H25</f>
        <v>3819745.6165236854</v>
      </c>
      <c r="I25" s="8">
        <f t="shared" si="3"/>
        <v>2559038.1274603228</v>
      </c>
      <c r="J25" s="12">
        <f t="shared" si="4"/>
        <v>727.05986470814321</v>
      </c>
      <c r="K25" s="1">
        <f t="shared" si="5"/>
        <v>-14374.328790195286</v>
      </c>
      <c r="L25" s="1">
        <f t="shared" si="7"/>
        <v>-14374.328790195286</v>
      </c>
      <c r="M25" s="14">
        <f t="shared" si="0"/>
        <v>3819.7456165236854</v>
      </c>
      <c r="N25" s="14">
        <f t="shared" si="0"/>
        <v>2559.0381274603228</v>
      </c>
      <c r="O25" s="14">
        <f t="shared" si="2"/>
        <v>1049.6956065326447</v>
      </c>
      <c r="P25" s="14">
        <f t="shared" si="1"/>
        <v>-14.374328790195285</v>
      </c>
      <c r="Q25" s="14">
        <f t="shared" si="6"/>
        <v>3819.7726629054873</v>
      </c>
      <c r="R25" s="7">
        <f t="shared" si="8"/>
        <v>0.99999291937395529</v>
      </c>
    </row>
    <row r="26" spans="1:18" ht="16.5" thickTop="1" thickBot="1">
      <c r="A26" s="3" t="s">
        <v>25</v>
      </c>
      <c r="B26" s="6">
        <f>Capability!B26</f>
        <v>1250</v>
      </c>
      <c r="F26" s="16"/>
      <c r="H26" s="33">
        <f>'V_1,1pu_DIG'!H26</f>
        <v>3875104.2486472172</v>
      </c>
      <c r="I26" s="8">
        <f t="shared" si="3"/>
        <v>2452390.4910560278</v>
      </c>
      <c r="J26" s="12">
        <f t="shared" si="4"/>
        <v>724.67390813537327</v>
      </c>
      <c r="K26" s="1">
        <f t="shared" si="5"/>
        <v>-22191.238092441112</v>
      </c>
      <c r="L26" s="1">
        <f t="shared" si="7"/>
        <v>-22191.238092441112</v>
      </c>
      <c r="M26" s="14">
        <f t="shared" si="0"/>
        <v>3875.104248647217</v>
      </c>
      <c r="N26" s="14">
        <f t="shared" si="0"/>
        <v>2452.3904910560277</v>
      </c>
      <c r="O26" s="14">
        <f t="shared" si="2"/>
        <v>1046.2836886335838</v>
      </c>
      <c r="P26" s="14">
        <f t="shared" si="1"/>
        <v>-22.191238092441111</v>
      </c>
      <c r="Q26" s="14">
        <f t="shared" si="6"/>
        <v>3875.1677884875885</v>
      </c>
      <c r="R26" s="7">
        <f t="shared" si="8"/>
        <v>0.99998360333181957</v>
      </c>
    </row>
    <row r="27" spans="1:18" ht="16.5" thickTop="1" thickBot="1">
      <c r="A27" s="27"/>
      <c r="F27" s="16"/>
      <c r="H27" s="33">
        <f>'V_1,1pu_DIG'!H27</f>
        <v>3930462.8807707489</v>
      </c>
      <c r="I27" s="8">
        <f t="shared" si="3"/>
        <v>2337866.8949580044</v>
      </c>
      <c r="J27" s="12">
        <f t="shared" si="4"/>
        <v>722.10296957804348</v>
      </c>
      <c r="K27" s="1">
        <f t="shared" si="5"/>
        <v>-30122.91312827915</v>
      </c>
      <c r="L27" s="1">
        <f t="shared" si="7"/>
        <v>-30122.91312827915</v>
      </c>
      <c r="M27" s="14">
        <f t="shared" si="0"/>
        <v>3930.4628807707491</v>
      </c>
      <c r="N27" s="14">
        <f t="shared" si="0"/>
        <v>2337.8668949580042</v>
      </c>
      <c r="O27" s="14">
        <f t="shared" si="2"/>
        <v>1042.6072464966021</v>
      </c>
      <c r="P27" s="14">
        <f t="shared" si="1"/>
        <v>-30.122913128279148</v>
      </c>
      <c r="Q27" s="14">
        <f t="shared" si="6"/>
        <v>3930.5783094872982</v>
      </c>
      <c r="R27" s="7">
        <f t="shared" si="8"/>
        <v>0.99997063314671264</v>
      </c>
    </row>
    <row r="28" spans="1:18" ht="16.5" thickTop="1" thickBot="1">
      <c r="A28" s="27" t="s">
        <v>73</v>
      </c>
      <c r="F28" s="16"/>
      <c r="H28" s="33">
        <f>'V_1,1pu_DIG'!H28</f>
        <v>3985821.5128942807</v>
      </c>
      <c r="I28" s="8">
        <f t="shared" si="3"/>
        <v>2213881.2770346291</v>
      </c>
      <c r="J28" s="12">
        <f t="shared" si="4"/>
        <v>719.30925915031355</v>
      </c>
      <c r="K28" s="1">
        <f t="shared" si="5"/>
        <v>-38169.454196356237</v>
      </c>
      <c r="L28" s="1">
        <f t="shared" si="7"/>
        <v>-38169.454196356237</v>
      </c>
      <c r="M28" s="14">
        <f t="shared" si="0"/>
        <v>3985.8215128942807</v>
      </c>
      <c r="N28" s="14">
        <f t="shared" si="0"/>
        <v>2213.881277034629</v>
      </c>
      <c r="O28" s="14">
        <f t="shared" si="2"/>
        <v>1038.6122405849483</v>
      </c>
      <c r="P28" s="14">
        <f t="shared" si="1"/>
        <v>-38.169454196356234</v>
      </c>
      <c r="Q28" s="14">
        <f t="shared" si="6"/>
        <v>3986.0042699280316</v>
      </c>
      <c r="R28" s="7">
        <f t="shared" si="8"/>
        <v>0.99995415031661417</v>
      </c>
    </row>
    <row r="29" spans="1:18" ht="16.5" thickTop="1" thickBot="1">
      <c r="A29" s="3" t="s">
        <v>54</v>
      </c>
      <c r="B29" s="6">
        <f>Capability!B29</f>
        <v>2846</v>
      </c>
      <c r="C29" s="2">
        <f>IF(B29&gt;D23,D23,B29)</f>
        <v>2846</v>
      </c>
      <c r="F29" s="16"/>
      <c r="H29" s="33">
        <f>'V_1,1pu_DIG'!H29</f>
        <v>4041180.1450178125</v>
      </c>
      <c r="I29" s="8">
        <f t="shared" si="3"/>
        <v>2078192.9674063376</v>
      </c>
      <c r="J29" s="12">
        <f t="shared" si="4"/>
        <v>716.23936922310804</v>
      </c>
      <c r="K29" s="1">
        <f t="shared" si="5"/>
        <v>-46330.963167300448</v>
      </c>
      <c r="L29" s="1">
        <f t="shared" si="7"/>
        <v>-46330.963167300448</v>
      </c>
      <c r="M29" s="14">
        <f t="shared" si="0"/>
        <v>4041.1801450178127</v>
      </c>
      <c r="N29" s="14">
        <f t="shared" si="0"/>
        <v>2078.1929674063376</v>
      </c>
      <c r="O29" s="14">
        <f t="shared" si="2"/>
        <v>1034.2222979890444</v>
      </c>
      <c r="P29" s="14">
        <f t="shared" si="1"/>
        <v>-46.330963167300446</v>
      </c>
      <c r="Q29" s="14">
        <f t="shared" si="6"/>
        <v>4041.4457218468492</v>
      </c>
      <c r="R29" s="7">
        <f t="shared" si="8"/>
        <v>0.99993428667676998</v>
      </c>
    </row>
    <row r="30" spans="1:18" ht="16.5" thickTop="1" thickBot="1">
      <c r="A30" s="27"/>
      <c r="B30" s="1" t="s">
        <v>69</v>
      </c>
      <c r="C30" s="1">
        <f xml:space="preserve"> Nm/1000*(-SQRT(3/K_3^2*Ii^2*B3^2-($C$29*1000/Nm)^2)+B3^2*K_4/K_3)</f>
        <v>-2761.7368360311639</v>
      </c>
      <c r="F30" s="16"/>
      <c r="H30" s="33">
        <f>'V_1,1pu_DIG'!H30</f>
        <v>4096538.7771413443</v>
      </c>
      <c r="I30" s="8">
        <f t="shared" si="3"/>
        <v>1927448.4637632945</v>
      </c>
      <c r="J30" s="12">
        <f t="shared" si="4"/>
        <v>712.81333639659351</v>
      </c>
      <c r="K30" s="1">
        <f t="shared" si="5"/>
        <v>-54607.543490342796</v>
      </c>
      <c r="L30" s="1">
        <f t="shared" si="7"/>
        <v>-54607.543490342796</v>
      </c>
      <c r="M30" s="14">
        <f t="shared" si="0"/>
        <v>4096.5387771413443</v>
      </c>
      <c r="N30" s="14">
        <f t="shared" si="0"/>
        <v>1927.4484637632945</v>
      </c>
      <c r="O30" s="14">
        <f t="shared" si="2"/>
        <v>1029.3230710471287</v>
      </c>
      <c r="P30" s="14">
        <f t="shared" si="1"/>
        <v>-54.607543490342799</v>
      </c>
      <c r="Q30" s="14">
        <f t="shared" si="6"/>
        <v>4096.9027247945187</v>
      </c>
      <c r="R30" s="7">
        <f t="shared" si="8"/>
        <v>0.99991116517095424</v>
      </c>
    </row>
    <row r="31" spans="1:18" ht="16.5" thickTop="1" thickBot="1">
      <c r="A31" s="27"/>
      <c r="B31" s="1" t="s">
        <v>68</v>
      </c>
      <c r="C31" s="1">
        <f>IF(ABS( Nm/1000*(SQRT(3/K_3^2*Ii^2*B3^2-($C$29*1000/Nm)^2)+B3^2*K_4/K_3))&lt;ABS(Nm/1000*(SQRT(Vi^2*B3^2/K_2^2-($C$29*1000/Nm)^2)-B3^2*K_1/K_2)),Nm/1000*(SQRT(3/K_3^2*Ii^2*B3^2-($C$29*1000/Nm)^2)+B3^2*K_4/K_3), Nm/1000*(SQRT(Vi^2*B3^2/K_2^2-($C$29*1000/Nm)^2)-B3^2*K_1/K_2))</f>
        <v>104.45828626206145</v>
      </c>
      <c r="F31" s="16"/>
      <c r="H31" s="33">
        <f>'V_1,1pu_DIG'!H31</f>
        <v>4151897.409264876</v>
      </c>
      <c r="I31" s="8">
        <f t="shared" si="3"/>
        <v>1756202.0762488432</v>
      </c>
      <c r="J31" s="12">
        <f t="shared" si="4"/>
        <v>708.90126045663112</v>
      </c>
      <c r="K31" s="1">
        <f t="shared" si="5"/>
        <v>-62999.300200056285</v>
      </c>
      <c r="L31" s="1">
        <f t="shared" si="7"/>
        <v>-62999.300200056285</v>
      </c>
      <c r="M31" s="14">
        <f t="shared" si="0"/>
        <v>4151.8974092648759</v>
      </c>
      <c r="N31" s="14">
        <f t="shared" si="0"/>
        <v>1756.2020762488432</v>
      </c>
      <c r="O31" s="14">
        <f t="shared" si="2"/>
        <v>1023.7288024529824</v>
      </c>
      <c r="P31" s="14">
        <f t="shared" si="1"/>
        <v>-62.999300200056283</v>
      </c>
      <c r="Q31" s="14">
        <f t="shared" si="6"/>
        <v>4152.3753453759555</v>
      </c>
      <c r="R31" s="7">
        <f t="shared" si="8"/>
        <v>0.99988490055177415</v>
      </c>
    </row>
    <row r="32" spans="1:18" ht="16.5" thickTop="1" thickBot="1">
      <c r="A32" s="3" t="s">
        <v>55</v>
      </c>
      <c r="B32" s="6">
        <f>Capability!B32</f>
        <v>0</v>
      </c>
      <c r="C32" s="2">
        <f>IF(B32&lt;C30,C30,IF(B32&gt;C31,C31,B32))</f>
        <v>0</v>
      </c>
      <c r="F32" s="16"/>
      <c r="H32" s="33">
        <f>'V_1,1pu_DIG'!H32</f>
        <v>4207256.0413884073</v>
      </c>
      <c r="I32" s="8">
        <f t="shared" si="3"/>
        <v>1554430.8372487668</v>
      </c>
      <c r="J32" s="12">
        <f t="shared" si="4"/>
        <v>704.26396679888614</v>
      </c>
      <c r="K32" s="1">
        <f t="shared" si="5"/>
        <v>-71506.339923234656</v>
      </c>
      <c r="L32" s="1">
        <f t="shared" si="7"/>
        <v>-71506.339923234656</v>
      </c>
      <c r="M32" s="14">
        <f t="shared" si="0"/>
        <v>4207.2560413884075</v>
      </c>
      <c r="N32" s="14">
        <f t="shared" si="0"/>
        <v>1554.4308372487667</v>
      </c>
      <c r="O32" s="14">
        <f t="shared" si="2"/>
        <v>1017.0974725224071</v>
      </c>
      <c r="P32" s="14">
        <f t="shared" si="1"/>
        <v>-71.506339923234663</v>
      </c>
      <c r="Q32" s="14">
        <f t="shared" si="6"/>
        <v>4207.8636568273541</v>
      </c>
      <c r="R32" s="7">
        <f t="shared" si="8"/>
        <v>0.99985560001737206</v>
      </c>
    </row>
    <row r="33" spans="1:18" ht="16.5" thickTop="1" thickBot="1">
      <c r="A33" s="21" t="s">
        <v>56</v>
      </c>
      <c r="B33" s="1">
        <f>C29/SQRT(C29^2+C32^2)</f>
        <v>1</v>
      </c>
      <c r="C33" s="1" t="s">
        <v>60</v>
      </c>
      <c r="D33" s="1">
        <f>SQRT(C29^2+C32^2)/(SQRT(3)*B3)*1000</f>
        <v>2453.911090372872</v>
      </c>
      <c r="F33" s="16"/>
      <c r="H33" s="33">
        <f>'V_1,1pu_DIG'!H33</f>
        <v>4262614.6735119391</v>
      </c>
      <c r="I33" s="8">
        <f t="shared" si="3"/>
        <v>1299096.5825591008</v>
      </c>
      <c r="J33" s="12">
        <f t="shared" si="4"/>
        <v>698.35149967616599</v>
      </c>
      <c r="K33" s="1">
        <f t="shared" si="5"/>
        <v>-80128.770885838196</v>
      </c>
      <c r="L33" s="1">
        <f t="shared" si="7"/>
        <v>-80128.770885838196</v>
      </c>
      <c r="M33" s="14">
        <f t="shared" si="0"/>
        <v>4262.6146735119391</v>
      </c>
      <c r="N33" s="14">
        <f t="shared" si="0"/>
        <v>1299.0965825591009</v>
      </c>
      <c r="O33" s="14">
        <f t="shared" si="2"/>
        <v>1008.6426445369173</v>
      </c>
      <c r="P33" s="14">
        <f t="shared" si="1"/>
        <v>-80.128770885838193</v>
      </c>
      <c r="Q33" s="14">
        <f t="shared" si="6"/>
        <v>4263.3677386267036</v>
      </c>
      <c r="R33" s="7">
        <f t="shared" si="8"/>
        <v>0.99982336379103742</v>
      </c>
    </row>
    <row r="34" spans="1:18" ht="20.25" thickTop="1" thickBot="1">
      <c r="A34" s="23" t="s">
        <v>57</v>
      </c>
      <c r="B34" s="25">
        <f>Vdc_offset+Vac_to_Vdc*SQRT(3)*SQRT(K_1^2*B3^2/3+K_2^2/3*($C$29^2+$C$32^2)*1000^2/B3^2/Nm^2+2/3*K_1*K_2*$C$32*1000/Nm)</f>
        <v>957.90747517921864</v>
      </c>
      <c r="F34" s="16"/>
      <c r="H34" s="33">
        <f>'V_1,1pu_DIG'!H34</f>
        <v>4317973.3056354709</v>
      </c>
      <c r="I34" s="8">
        <f t="shared" si="3"/>
        <v>895743.68364349252</v>
      </c>
      <c r="J34" s="12">
        <f t="shared" si="4"/>
        <v>688.90815794683306</v>
      </c>
      <c r="K34" s="1">
        <f t="shared" si="5"/>
        <v>-88866.702920129523</v>
      </c>
      <c r="L34" s="1">
        <f t="shared" si="7"/>
        <v>-88866.702920129523</v>
      </c>
      <c r="M34" s="14">
        <f t="shared" si="0"/>
        <v>4317.9733056354708</v>
      </c>
      <c r="N34" s="14">
        <f t="shared" si="0"/>
        <v>895.74368364349255</v>
      </c>
      <c r="O34" s="14">
        <f t="shared" si="2"/>
        <v>995.13866586397126</v>
      </c>
      <c r="P34" s="14">
        <f t="shared" si="1"/>
        <v>-88.866702920129526</v>
      </c>
      <c r="Q34" s="14">
        <f t="shared" si="6"/>
        <v>4318.8876761347256</v>
      </c>
      <c r="R34" s="7">
        <f t="shared" si="8"/>
        <v>0.99978828564949551</v>
      </c>
    </row>
    <row r="35" spans="1:18" ht="16.5" thickTop="1" thickBot="1">
      <c r="A35" s="21" t="s">
        <v>58</v>
      </c>
      <c r="B35" s="1">
        <f>SQRT(3)*SQRT(K_1^2*B3^2/3+K_2^2/3*($C$29^2+$C$32^2)*1000^2/B3^2/Nm^2+2/3*K_1*K_2*$C$32*1000/Nm)</f>
        <v>662.87236026518792</v>
      </c>
      <c r="F35" s="16"/>
      <c r="H35" s="33">
        <f>'V_1,1pu_DIG'!H35</f>
        <v>4373331.9377590027</v>
      </c>
      <c r="I35" s="8">
        <f t="shared" si="3"/>
        <v>508593.8043228786</v>
      </c>
      <c r="J35" s="12">
        <f t="shared" si="4"/>
        <v>679.8632350456794</v>
      </c>
      <c r="K35" s="1">
        <f t="shared" si="5"/>
        <v>-97720.247471854091</v>
      </c>
      <c r="L35" s="1">
        <f t="shared" si="7"/>
        <v>-97720.247471854091</v>
      </c>
      <c r="M35" s="14">
        <f t="shared" si="0"/>
        <v>4373.3319377590024</v>
      </c>
      <c r="N35" s="14">
        <f t="shared" si="0"/>
        <v>508.59380432287861</v>
      </c>
      <c r="O35" s="14">
        <f t="shared" si="2"/>
        <v>982.20442611532155</v>
      </c>
      <c r="P35" s="14">
        <f t="shared" si="1"/>
        <v>-97.720247471854094</v>
      </c>
      <c r="Q35" s="14">
        <f t="shared" si="6"/>
        <v>4374.4235602635545</v>
      </c>
      <c r="R35" s="7">
        <f t="shared" si="8"/>
        <v>0.99975045340499991</v>
      </c>
    </row>
    <row r="36" spans="1:18" ht="16.5" thickTop="1" thickBot="1">
      <c r="F36" s="16"/>
      <c r="H36" s="33">
        <f>'V_1,1pu_DIG'!H36</f>
        <v>4428690.5698825344</v>
      </c>
      <c r="I36" s="8">
        <f t="shared" si="3"/>
        <v>508593.8043228786</v>
      </c>
      <c r="J36" s="12">
        <f t="shared" ref="J36:J67" si="9">SQRT(3)*SQRT(($B$3/SQRT(3)*K_1+SQRT(H36^2+I36^2)/SQRT(3)/$B$3/Nm*I36/SQRT(H36^2+I36^2)*K_2)^2+(SQRT(H36^2+I36^2)/SQRT(3)/$B$3/Nm*H36/SQRT(H36^2+I36^2)*K_2)^2)</f>
        <v>680.07273283301265</v>
      </c>
      <c r="K36" s="1">
        <f t="shared" si="5"/>
        <v>-106689.51760759391</v>
      </c>
      <c r="L36" s="1">
        <f t="shared" si="7"/>
        <v>-106689.51760759391</v>
      </c>
      <c r="M36" s="14">
        <f t="shared" si="0"/>
        <v>4428.6905698825349</v>
      </c>
      <c r="N36" s="14">
        <f t="shared" si="0"/>
        <v>508.59380432287861</v>
      </c>
      <c r="O36" s="14">
        <f t="shared" si="2"/>
        <v>982.504007951208</v>
      </c>
      <c r="P36" s="14">
        <f t="shared" si="1"/>
        <v>-106.68951760759391</v>
      </c>
      <c r="Q36" s="14">
        <f t="shared" si="6"/>
        <v>4429.9754871707619</v>
      </c>
      <c r="R36" s="7">
        <f t="shared" si="8"/>
        <v>0.99970994934578128</v>
      </c>
    </row>
    <row r="37" spans="1:18" ht="16.5" thickTop="1" thickBot="1">
      <c r="F37" s="16"/>
      <c r="H37" s="33">
        <f>'V_1,1pu_DIG'!H37</f>
        <v>4373331.9377590027</v>
      </c>
      <c r="I37" s="8">
        <f t="shared" ref="I37:I68" si="10">Nm*(-SQRT(IF(3/K_3^2*Ii^2*$B$3^2-(H37/Nm)^2&lt;0.0000000001,0,3/K_3^2*Ii^2*$B$3^2-(H37/Nm)^2))+$B$3^2/K_3*K_4)</f>
        <v>508593.8043228786</v>
      </c>
      <c r="J37" s="12">
        <f t="shared" si="9"/>
        <v>679.8632350456794</v>
      </c>
      <c r="K37" s="1">
        <f t="shared" ref="K37:K68" si="11">Nm*(-SQRT(Vi^2*$B$3^2/K_2^2-(H37/Nm)^2)-$B$3^2*K_1/K_2)</f>
        <v>-54433063.745302834</v>
      </c>
      <c r="L37" s="1">
        <f t="shared" si="7"/>
        <v>508593.8043228786</v>
      </c>
      <c r="M37" s="14">
        <f t="shared" si="0"/>
        <v>4373.3319377590024</v>
      </c>
      <c r="N37" s="14">
        <f t="shared" si="0"/>
        <v>508.59380432287861</v>
      </c>
      <c r="O37" s="14">
        <f t="shared" si="2"/>
        <v>982.20442611532155</v>
      </c>
      <c r="P37" s="14">
        <f t="shared" si="1"/>
        <v>508.59380432287861</v>
      </c>
      <c r="Q37" s="14">
        <f t="shared" si="6"/>
        <v>4402.8059116452687</v>
      </c>
      <c r="R37" s="7">
        <f t="shared" si="8"/>
        <v>0.99330563861370569</v>
      </c>
    </row>
    <row r="38" spans="1:18" ht="16.5" thickTop="1" thickBot="1">
      <c r="F38" s="16"/>
      <c r="H38" s="33">
        <f>'V_1,1pu_DIG'!H38</f>
        <v>4317973.3056354709</v>
      </c>
      <c r="I38" s="8">
        <f t="shared" si="10"/>
        <v>121443.92500226482</v>
      </c>
      <c r="J38" s="12">
        <f t="shared" si="9"/>
        <v>670.40750384810804</v>
      </c>
      <c r="K38" s="1">
        <f t="shared" si="11"/>
        <v>-54441917.289854564</v>
      </c>
      <c r="L38" s="1">
        <f t="shared" si="7"/>
        <v>121443.92500226482</v>
      </c>
      <c r="M38" s="14">
        <f t="shared" si="0"/>
        <v>4317.9733056354708</v>
      </c>
      <c r="N38" s="14">
        <f t="shared" si="0"/>
        <v>121.44392500226482</v>
      </c>
      <c r="O38" s="14">
        <f t="shared" si="2"/>
        <v>968.68273050279447</v>
      </c>
      <c r="P38" s="14">
        <f t="shared" si="1"/>
        <v>121.44392500226482</v>
      </c>
      <c r="Q38" s="14">
        <f t="shared" si="6"/>
        <v>4319.6807862503529</v>
      </c>
      <c r="R38" s="7">
        <f t="shared" si="8"/>
        <v>0.99960472064965611</v>
      </c>
    </row>
    <row r="39" spans="1:18" ht="16.5" thickTop="1" thickBot="1">
      <c r="F39" s="16"/>
      <c r="H39" s="33">
        <f>'V_1,1pu_DIG'!H39</f>
        <v>4262614.6735119391</v>
      </c>
      <c r="I39" s="8">
        <f t="shared" si="10"/>
        <v>-281908.97391334362</v>
      </c>
      <c r="J39" s="12">
        <f t="shared" si="9"/>
        <v>660.56479939639507</v>
      </c>
      <c r="K39" s="1">
        <f t="shared" si="11"/>
        <v>-54450655.221888855</v>
      </c>
      <c r="L39" s="1">
        <f t="shared" si="7"/>
        <v>-281908.97391334362</v>
      </c>
      <c r="M39" s="14">
        <f t="shared" si="0"/>
        <v>4262.6146735119391</v>
      </c>
      <c r="N39" s="14">
        <f t="shared" si="0"/>
        <v>-281.90897391334363</v>
      </c>
      <c r="O39" s="14">
        <f t="shared" si="2"/>
        <v>954.60766313684496</v>
      </c>
      <c r="P39" s="14">
        <f t="shared" si="1"/>
        <v>-281.90897391334363</v>
      </c>
      <c r="Q39" s="14">
        <f t="shared" si="6"/>
        <v>4271.9265588738963</v>
      </c>
      <c r="R39" s="7">
        <f t="shared" si="8"/>
        <v>0.99782021408055011</v>
      </c>
    </row>
    <row r="40" spans="1:18" ht="16.5" thickTop="1" thickBot="1">
      <c r="F40" s="16"/>
      <c r="H40" s="33">
        <f>'V_1,1pu_DIG'!H40</f>
        <v>4207256.0413884073</v>
      </c>
      <c r="I40" s="8">
        <f t="shared" si="10"/>
        <v>-537243.22860300972</v>
      </c>
      <c r="J40" s="12">
        <f t="shared" si="9"/>
        <v>654.2575459024124</v>
      </c>
      <c r="K40" s="1">
        <f t="shared" si="11"/>
        <v>-54459277.652851447</v>
      </c>
      <c r="L40" s="1">
        <f t="shared" si="7"/>
        <v>-537243.22860300972</v>
      </c>
      <c r="M40" s="14">
        <f t="shared" si="0"/>
        <v>4207.2560413884075</v>
      </c>
      <c r="N40" s="14">
        <f t="shared" si="0"/>
        <v>-537.2432286030097</v>
      </c>
      <c r="O40" s="14">
        <f t="shared" si="2"/>
        <v>945.58829064044971</v>
      </c>
      <c r="P40" s="14">
        <f t="shared" si="1"/>
        <v>-537.2432286030097</v>
      </c>
      <c r="Q40" s="14">
        <f t="shared" si="6"/>
        <v>4241.4188291748596</v>
      </c>
      <c r="R40" s="7">
        <f t="shared" si="8"/>
        <v>0.99194543402517543</v>
      </c>
    </row>
    <row r="41" spans="1:18" ht="16.5" thickTop="1" thickBot="1">
      <c r="F41" s="16"/>
      <c r="H41" s="33">
        <f>'V_1,1pu_DIG'!H41</f>
        <v>4151897.4092648756</v>
      </c>
      <c r="I41" s="8">
        <f t="shared" si="10"/>
        <v>-739014.46760308836</v>
      </c>
      <c r="J41" s="12">
        <f t="shared" si="9"/>
        <v>649.23006263153673</v>
      </c>
      <c r="K41" s="1">
        <f t="shared" si="11"/>
        <v>-54467784.692574635</v>
      </c>
      <c r="L41" s="1">
        <f t="shared" si="7"/>
        <v>-739014.46760308836</v>
      </c>
      <c r="M41" s="14">
        <f t="shared" si="0"/>
        <v>4151.8974092648759</v>
      </c>
      <c r="N41" s="14">
        <f t="shared" si="0"/>
        <v>-739.01446760308841</v>
      </c>
      <c r="O41" s="14">
        <f t="shared" si="2"/>
        <v>938.39898956309753</v>
      </c>
      <c r="P41" s="14">
        <f t="shared" si="1"/>
        <v>-739.01446760308841</v>
      </c>
      <c r="Q41" s="14">
        <f t="shared" si="6"/>
        <v>4217.154784969016</v>
      </c>
      <c r="R41" s="7">
        <f t="shared" si="8"/>
        <v>0.98452573381068831</v>
      </c>
    </row>
    <row r="42" spans="1:18" ht="16.5" thickTop="1" thickBot="1">
      <c r="F42" s="16"/>
      <c r="H42" s="33">
        <f>'V_1,1pu_DIG'!H42</f>
        <v>4096538.7771413438</v>
      </c>
      <c r="I42" s="8">
        <f t="shared" si="10"/>
        <v>-910260.85511753953</v>
      </c>
      <c r="J42" s="12">
        <f t="shared" si="9"/>
        <v>644.9324140998857</v>
      </c>
      <c r="K42" s="1">
        <f t="shared" si="11"/>
        <v>-54476176.449284345</v>
      </c>
      <c r="L42" s="1">
        <f t="shared" si="7"/>
        <v>-910260.85511753953</v>
      </c>
      <c r="M42" s="14">
        <f t="shared" si="0"/>
        <v>4096.5387771413434</v>
      </c>
      <c r="N42" s="14">
        <f t="shared" si="0"/>
        <v>-910.26085511753956</v>
      </c>
      <c r="O42" s="14">
        <f t="shared" si="2"/>
        <v>932.25335216283656</v>
      </c>
      <c r="P42" s="14">
        <f t="shared" si="1"/>
        <v>-910.26085511753956</v>
      </c>
      <c r="Q42" s="14">
        <f t="shared" si="6"/>
        <v>4196.4514505689212</v>
      </c>
      <c r="R42" s="7">
        <f t="shared" si="8"/>
        <v>0.97619115230940356</v>
      </c>
    </row>
    <row r="43" spans="1:18" ht="16.5" thickTop="1" thickBot="1">
      <c r="F43" s="16"/>
      <c r="H43" s="33">
        <f>'V_1,1pu_DIG'!H43</f>
        <v>4041180.145017812</v>
      </c>
      <c r="I43" s="8">
        <f t="shared" si="10"/>
        <v>-1061005.3587605807</v>
      </c>
      <c r="J43" s="12">
        <f t="shared" si="9"/>
        <v>641.12544581886152</v>
      </c>
      <c r="K43" s="1">
        <f t="shared" si="11"/>
        <v>-54484453.029607393</v>
      </c>
      <c r="L43" s="1">
        <f t="shared" si="7"/>
        <v>-1061005.3587605807</v>
      </c>
      <c r="M43" s="14">
        <f t="shared" si="0"/>
        <v>4041.1801450178118</v>
      </c>
      <c r="N43" s="14">
        <f t="shared" si="0"/>
        <v>-1061.0053587605807</v>
      </c>
      <c r="O43" s="14">
        <f t="shared" si="2"/>
        <v>926.80938752097188</v>
      </c>
      <c r="P43" s="14">
        <f t="shared" si="1"/>
        <v>-1061.0053587605807</v>
      </c>
      <c r="Q43" s="14">
        <f t="shared" si="6"/>
        <v>4178.1418520443813</v>
      </c>
      <c r="R43" s="7">
        <f t="shared" si="8"/>
        <v>0.96721946935345104</v>
      </c>
    </row>
    <row r="44" spans="1:18" ht="16.5" thickTop="1" thickBot="1">
      <c r="F44" s="16"/>
      <c r="H44" s="33">
        <f>'V_1,1pu_DIG'!H44</f>
        <v>3985821.5128942803</v>
      </c>
      <c r="I44" s="8">
        <f t="shared" si="10"/>
        <v>-1196693.6683888733</v>
      </c>
      <c r="J44" s="12">
        <f t="shared" si="9"/>
        <v>637.67927753862023</v>
      </c>
      <c r="K44" s="1">
        <f t="shared" si="11"/>
        <v>-54492614.538578331</v>
      </c>
      <c r="L44" s="1">
        <f t="shared" si="7"/>
        <v>-1196693.6683888733</v>
      </c>
      <c r="M44" s="14">
        <f t="shared" si="0"/>
        <v>3985.8215128942802</v>
      </c>
      <c r="N44" s="14">
        <f t="shared" si="0"/>
        <v>-1196.6936683888734</v>
      </c>
      <c r="O44" s="14">
        <f t="shared" si="2"/>
        <v>921.88136688022689</v>
      </c>
      <c r="P44" s="14">
        <f t="shared" si="1"/>
        <v>-1196.6936683888734</v>
      </c>
      <c r="Q44" s="14">
        <f t="shared" si="6"/>
        <v>4161.5921074287025</v>
      </c>
      <c r="R44" s="7">
        <f t="shared" si="8"/>
        <v>0.95776361786618613</v>
      </c>
    </row>
    <row r="45" spans="1:18" ht="16.5" thickTop="1" thickBot="1">
      <c r="F45" s="16"/>
      <c r="H45" s="33">
        <f>'V_1,1pu_DIG'!H45</f>
        <v>3930462.8807707485</v>
      </c>
      <c r="I45" s="8">
        <f t="shared" si="10"/>
        <v>-1320679.2863122486</v>
      </c>
      <c r="J45" s="12">
        <f t="shared" si="9"/>
        <v>634.51396566830658</v>
      </c>
      <c r="K45" s="1">
        <f t="shared" si="11"/>
        <v>-54500661.079646409</v>
      </c>
      <c r="L45" s="1">
        <f t="shared" ref="L45:L56" si="12">IF(ABS(I45)&lt;ABS(K45),I45,K45)</f>
        <v>-1320679.2863122486</v>
      </c>
      <c r="M45" s="14">
        <f t="shared" ref="M45:M56" si="13">H45/1000</f>
        <v>3930.4628807707486</v>
      </c>
      <c r="N45" s="14">
        <f t="shared" ref="N45:N56" si="14">I45/1000</f>
        <v>-1320.6792863122485</v>
      </c>
      <c r="O45" s="14">
        <f t="shared" ref="O45:O56" si="15">J45*1.43+10</f>
        <v>917.35497090567833</v>
      </c>
      <c r="P45" s="14">
        <f t="shared" ref="P45:P56" si="16">L45/1000</f>
        <v>-1320.6792863122485</v>
      </c>
      <c r="Q45" s="14">
        <f t="shared" ref="Q45:Q56" si="17">SQRT(M45^2+P45^2)</f>
        <v>4146.411971139737</v>
      </c>
      <c r="R45" s="7">
        <f t="shared" ref="R45:R56" si="18">M45/SQRT(M45^2+P45^2)</f>
        <v>0.9479190461844943</v>
      </c>
    </row>
    <row r="46" spans="1:18" ht="16.5" thickTop="1" thickBot="1">
      <c r="F46" s="16"/>
      <c r="H46" s="33">
        <f>'V_1,1pu_DIG'!H46</f>
        <v>3875104.2486472167</v>
      </c>
      <c r="I46" s="8">
        <f t="shared" si="10"/>
        <v>-1435202.8824102702</v>
      </c>
      <c r="J46" s="12">
        <f t="shared" si="9"/>
        <v>631.57612222863065</v>
      </c>
      <c r="K46" s="1">
        <f t="shared" si="11"/>
        <v>-54508592.754682243</v>
      </c>
      <c r="L46" s="1">
        <f t="shared" si="12"/>
        <v>-1435202.8824102702</v>
      </c>
      <c r="M46" s="14">
        <f t="shared" si="13"/>
        <v>3875.1042486472165</v>
      </c>
      <c r="N46" s="14">
        <f t="shared" si="14"/>
        <v>-1435.2028824102701</v>
      </c>
      <c r="O46" s="14">
        <f t="shared" si="15"/>
        <v>913.15385478694179</v>
      </c>
      <c r="P46" s="14">
        <f t="shared" si="16"/>
        <v>-1435.2028824102701</v>
      </c>
      <c r="Q46" s="14">
        <f t="shared" si="17"/>
        <v>4132.3407714711111</v>
      </c>
      <c r="R46" s="7">
        <f t="shared" si="18"/>
        <v>0.93775040901761875</v>
      </c>
    </row>
    <row r="47" spans="1:18" ht="16.5" thickTop="1" thickBot="1">
      <c r="F47" s="16"/>
      <c r="H47" s="33">
        <f>'V_1,1pu_DIG'!H47</f>
        <v>3819745.6165236849</v>
      </c>
      <c r="I47" s="8">
        <f t="shared" si="10"/>
        <v>-1541850.5188145663</v>
      </c>
      <c r="J47" s="12">
        <f t="shared" si="9"/>
        <v>628.82797682047055</v>
      </c>
      <c r="K47" s="1">
        <f t="shared" si="11"/>
        <v>-54516409.663984492</v>
      </c>
      <c r="L47" s="1">
        <f t="shared" si="12"/>
        <v>-1541850.5188145663</v>
      </c>
      <c r="M47" s="14">
        <f t="shared" si="13"/>
        <v>3819.7456165236849</v>
      </c>
      <c r="N47" s="14">
        <f t="shared" si="14"/>
        <v>-1541.8505188145664</v>
      </c>
      <c r="O47" s="14">
        <f t="shared" si="15"/>
        <v>909.22400685327284</v>
      </c>
      <c r="P47" s="14">
        <f t="shared" si="16"/>
        <v>-1541.8505188145664</v>
      </c>
      <c r="Q47" s="14">
        <f t="shared" si="17"/>
        <v>4119.194047058314</v>
      </c>
      <c r="R47" s="7">
        <f t="shared" si="18"/>
        <v>0.92730412136119744</v>
      </c>
    </row>
    <row r="48" spans="1:18" ht="16.5" thickTop="1" thickBot="1">
      <c r="F48" s="16"/>
      <c r="H48" s="33">
        <f>'V_1,1pu_DIG'!H48</f>
        <v>3764386.9844001532</v>
      </c>
      <c r="I48" s="8">
        <f t="shared" si="10"/>
        <v>-1641794.3301582434</v>
      </c>
      <c r="J48" s="12">
        <f t="shared" si="9"/>
        <v>626.2416323102974</v>
      </c>
      <c r="K48" s="1">
        <f t="shared" si="11"/>
        <v>-54524111.906286322</v>
      </c>
      <c r="L48" s="1">
        <f t="shared" si="12"/>
        <v>-1641794.3301582434</v>
      </c>
      <c r="M48" s="14">
        <f t="shared" si="13"/>
        <v>3764.3869844001533</v>
      </c>
      <c r="N48" s="14">
        <f t="shared" si="14"/>
        <v>-1641.7943301582434</v>
      </c>
      <c r="O48" s="14">
        <f t="shared" si="15"/>
        <v>905.52553420372521</v>
      </c>
      <c r="P48" s="14">
        <f t="shared" si="16"/>
        <v>-1641.7943301582434</v>
      </c>
      <c r="Q48" s="14">
        <f t="shared" si="17"/>
        <v>4106.8355203077026</v>
      </c>
      <c r="R48" s="7">
        <f t="shared" si="18"/>
        <v>0.91661498635282779</v>
      </c>
    </row>
    <row r="49" spans="6:18" ht="16.5" thickTop="1" thickBot="1">
      <c r="F49" s="16"/>
      <c r="H49" s="33">
        <f>'V_1,1pu_DIG'!H49</f>
        <v>3709028.3522766214</v>
      </c>
      <c r="I49" s="8">
        <f t="shared" si="10"/>
        <v>-1735930.015832891</v>
      </c>
      <c r="J49" s="12">
        <f t="shared" si="9"/>
        <v>623.79578377950736</v>
      </c>
      <c r="K49" s="1">
        <f t="shared" si="11"/>
        <v>-54531699.578761816</v>
      </c>
      <c r="L49" s="1">
        <f t="shared" si="12"/>
        <v>-1735930.015832891</v>
      </c>
      <c r="M49" s="14">
        <f t="shared" si="13"/>
        <v>3709.0283522766213</v>
      </c>
      <c r="N49" s="14">
        <f t="shared" si="14"/>
        <v>-1735.9300158328911</v>
      </c>
      <c r="O49" s="14">
        <f t="shared" si="15"/>
        <v>902.02797080469554</v>
      </c>
      <c r="P49" s="14">
        <f t="shared" si="16"/>
        <v>-1735.9300158328911</v>
      </c>
      <c r="Q49" s="14">
        <f t="shared" si="17"/>
        <v>4095.1610881455458</v>
      </c>
      <c r="R49" s="7">
        <f t="shared" si="18"/>
        <v>0.90571000076488295</v>
      </c>
    </row>
    <row r="50" spans="6:18" ht="16.5" thickTop="1" thickBot="1">
      <c r="F50" s="16"/>
      <c r="H50" s="33">
        <f>'V_1,1pu_DIG'!H50</f>
        <v>3653669.7201530896</v>
      </c>
      <c r="I50" s="8">
        <f t="shared" si="10"/>
        <v>-1824960.5818603374</v>
      </c>
      <c r="J50" s="12">
        <f t="shared" si="9"/>
        <v>621.47372043917744</v>
      </c>
      <c r="K50" s="1">
        <f t="shared" si="11"/>
        <v>-54539172.777032331</v>
      </c>
      <c r="L50" s="1">
        <f t="shared" si="12"/>
        <v>-1824960.5818603374</v>
      </c>
      <c r="M50" s="14">
        <f t="shared" si="13"/>
        <v>3653.6697201530897</v>
      </c>
      <c r="N50" s="14">
        <f t="shared" si="14"/>
        <v>-1824.9605818603375</v>
      </c>
      <c r="O50" s="14">
        <f t="shared" si="15"/>
        <v>898.70742022802369</v>
      </c>
      <c r="P50" s="14">
        <f t="shared" si="16"/>
        <v>-1824.9605818603375</v>
      </c>
      <c r="Q50" s="14">
        <f t="shared" si="17"/>
        <v>4084.089072156431</v>
      </c>
      <c r="R50" s="7">
        <f t="shared" si="18"/>
        <v>0.894610684439339</v>
      </c>
    </row>
    <row r="51" spans="6:18" ht="16.5" thickTop="1" thickBot="1">
      <c r="F51" s="16"/>
      <c r="H51" s="33">
        <f>'V_1,1pu_DIG'!H51</f>
        <v>3598311.0880295578</v>
      </c>
      <c r="I51" s="8">
        <f t="shared" si="10"/>
        <v>-1909449.9940815298</v>
      </c>
      <c r="J51" s="12">
        <f t="shared" si="9"/>
        <v>619.26204565002502</v>
      </c>
      <c r="K51" s="1">
        <f t="shared" si="11"/>
        <v>-54546531.595172569</v>
      </c>
      <c r="L51" s="1">
        <f t="shared" si="12"/>
        <v>-1909449.9940815298</v>
      </c>
      <c r="M51" s="14">
        <f t="shared" si="13"/>
        <v>3598.3110880295581</v>
      </c>
      <c r="N51" s="14">
        <f t="shared" si="14"/>
        <v>-1909.4499940815299</v>
      </c>
      <c r="O51" s="14">
        <f t="shared" si="15"/>
        <v>895.54472527953578</v>
      </c>
      <c r="P51" s="14">
        <f t="shared" si="16"/>
        <v>-1909.4499940815299</v>
      </c>
      <c r="Q51" s="14">
        <f t="shared" si="17"/>
        <v>4073.553972409647</v>
      </c>
      <c r="R51" s="7">
        <f t="shared" si="18"/>
        <v>0.8833345801727609</v>
      </c>
    </row>
    <row r="52" spans="6:18" ht="16.5" thickTop="1" thickBot="1">
      <c r="F52" s="16"/>
      <c r="H52" s="33">
        <f>'V_1,1pu_DIG'!H52</f>
        <v>3542952.4559060261</v>
      </c>
      <c r="I52" s="8">
        <f t="shared" si="10"/>
        <v>-1989858.9953969675</v>
      </c>
      <c r="J52" s="12">
        <f t="shared" si="9"/>
        <v>617.14982257259737</v>
      </c>
      <c r="K52" s="1">
        <f t="shared" si="11"/>
        <v>-54553776.125716679</v>
      </c>
      <c r="L52" s="1">
        <f t="shared" si="12"/>
        <v>-1989858.9953969675</v>
      </c>
      <c r="M52" s="14">
        <f t="shared" si="13"/>
        <v>3542.952455906026</v>
      </c>
      <c r="N52" s="14">
        <f t="shared" si="14"/>
        <v>-1989.8589953969674</v>
      </c>
      <c r="O52" s="14">
        <f t="shared" si="15"/>
        <v>892.52424627881419</v>
      </c>
      <c r="P52" s="14">
        <f t="shared" si="16"/>
        <v>-1989.8589953969674</v>
      </c>
      <c r="Q52" s="14">
        <f t="shared" si="17"/>
        <v>4063.5022980641675</v>
      </c>
      <c r="R52" s="7">
        <f t="shared" si="18"/>
        <v>0.8718962599317025</v>
      </c>
    </row>
    <row r="53" spans="6:18" ht="16.5" thickTop="1" thickBot="1">
      <c r="F53" s="16"/>
      <c r="H53" s="33">
        <f>'V_1,1pu_DIG'!H53</f>
        <v>3321517.9274118994</v>
      </c>
      <c r="I53" s="8">
        <f t="shared" si="10"/>
        <v>-2277496.1359195104</v>
      </c>
      <c r="J53" s="12">
        <f t="shared" si="9"/>
        <v>609.53410962436135</v>
      </c>
      <c r="K53" s="1">
        <f t="shared" si="11"/>
        <v>-54581613.169026241</v>
      </c>
      <c r="L53" s="1">
        <f t="shared" si="12"/>
        <v>-2277496.1359195104</v>
      </c>
      <c r="M53" s="14">
        <f t="shared" si="13"/>
        <v>3321.5179274118996</v>
      </c>
      <c r="N53" s="14">
        <f t="shared" si="14"/>
        <v>-2277.4961359195104</v>
      </c>
      <c r="O53" s="14">
        <f t="shared" si="15"/>
        <v>881.63377676283665</v>
      </c>
      <c r="P53" s="14">
        <f t="shared" si="16"/>
        <v>-2277.4961359195104</v>
      </c>
      <c r="Q53" s="14">
        <f t="shared" si="17"/>
        <v>4027.3403123211406</v>
      </c>
      <c r="R53" s="7">
        <f t="shared" si="18"/>
        <v>0.8247423038103171</v>
      </c>
    </row>
    <row r="54" spans="6:18" ht="16.5" thickTop="1" thickBot="1">
      <c r="F54" s="16"/>
      <c r="H54" s="33">
        <f>'V_1,1pu_DIG'!H54</f>
        <v>3100083.3989177728</v>
      </c>
      <c r="I54" s="8">
        <f t="shared" si="10"/>
        <v>-2521960.8341868627</v>
      </c>
      <c r="J54" s="12">
        <f t="shared" si="9"/>
        <v>602.98585533641096</v>
      </c>
      <c r="K54" s="1">
        <f t="shared" si="11"/>
        <v>-54607628.616941974</v>
      </c>
      <c r="L54" s="1">
        <f t="shared" si="12"/>
        <v>-2521960.8341868627</v>
      </c>
      <c r="M54" s="14">
        <f t="shared" si="13"/>
        <v>3100.0833989177727</v>
      </c>
      <c r="N54" s="14">
        <f t="shared" si="14"/>
        <v>-2521.9608341868625</v>
      </c>
      <c r="O54" s="14">
        <f t="shared" si="15"/>
        <v>872.26977313106761</v>
      </c>
      <c r="P54" s="14">
        <f t="shared" si="16"/>
        <v>-2521.9608341868625</v>
      </c>
      <c r="Q54" s="14">
        <f t="shared" si="17"/>
        <v>3996.3487747465265</v>
      </c>
      <c r="R54" s="7">
        <f t="shared" si="18"/>
        <v>0.77572894000334081</v>
      </c>
    </row>
    <row r="55" spans="6:18" ht="16.5" thickTop="1" thickBot="1">
      <c r="F55" s="16"/>
      <c r="H55" s="33">
        <f>'V_1,1pu_DIG'!H55</f>
        <v>2878648.8704236462</v>
      </c>
      <c r="I55" s="8">
        <f t="shared" si="10"/>
        <v>-2733035.2889028019</v>
      </c>
      <c r="J55" s="12">
        <f t="shared" si="9"/>
        <v>597.2742447875504</v>
      </c>
      <c r="K55" s="1">
        <f t="shared" si="11"/>
        <v>-54631827.664472669</v>
      </c>
      <c r="L55" s="1">
        <f t="shared" si="12"/>
        <v>-2733035.2889028019</v>
      </c>
      <c r="M55" s="14">
        <f t="shared" si="13"/>
        <v>2878.6488704236463</v>
      </c>
      <c r="N55" s="14">
        <f t="shared" si="14"/>
        <v>-2733.0352889028018</v>
      </c>
      <c r="O55" s="14">
        <f t="shared" si="15"/>
        <v>864.10217004619699</v>
      </c>
      <c r="P55" s="14">
        <f t="shared" si="16"/>
        <v>-2733.0352889028018</v>
      </c>
      <c r="Q55" s="14">
        <f t="shared" si="17"/>
        <v>3969.3955723232416</v>
      </c>
      <c r="R55" s="7">
        <f t="shared" si="18"/>
        <v>0.72521088361541308</v>
      </c>
    </row>
    <row r="56" spans="6:18" ht="16.5" thickTop="1" thickBot="1">
      <c r="F56" s="16"/>
      <c r="H56" s="33">
        <f>'V_1,1pu_DIG'!H56</f>
        <v>2657214.3419295195</v>
      </c>
      <c r="I56" s="8">
        <f t="shared" si="10"/>
        <v>-2916897.4653029181</v>
      </c>
      <c r="J56" s="12">
        <f t="shared" si="9"/>
        <v>592.25410419304126</v>
      </c>
      <c r="K56" s="1">
        <f t="shared" si="11"/>
        <v>-54654215.126191363</v>
      </c>
      <c r="L56" s="1">
        <f t="shared" si="12"/>
        <v>-2916897.4653029181</v>
      </c>
      <c r="M56" s="14">
        <f t="shared" si="13"/>
        <v>2657.2143419295194</v>
      </c>
      <c r="N56" s="14">
        <f t="shared" si="14"/>
        <v>-2916.8974653029181</v>
      </c>
      <c r="O56" s="14">
        <f t="shared" si="15"/>
        <v>856.92336899604891</v>
      </c>
      <c r="P56" s="14">
        <f t="shared" si="16"/>
        <v>-2916.8974653029181</v>
      </c>
      <c r="Q56" s="14">
        <f t="shared" si="17"/>
        <v>3945.7672108281449</v>
      </c>
      <c r="R56" s="7">
        <f t="shared" si="18"/>
        <v>0.67343413839455024</v>
      </c>
    </row>
    <row r="57" spans="6:18" ht="16.5" thickTop="1" thickBot="1">
      <c r="F57" s="16"/>
      <c r="H57" s="33">
        <f>'V_1,1pu_DIG'!H57</f>
        <v>2435779.8134353929</v>
      </c>
      <c r="I57" s="8">
        <f t="shared" si="10"/>
        <v>-3077735.1261712448</v>
      </c>
      <c r="J57" s="12">
        <f t="shared" si="9"/>
        <v>587.82746626667597</v>
      </c>
      <c r="K57" s="1">
        <f t="shared" si="11"/>
        <v>-54674795.441101424</v>
      </c>
      <c r="L57" s="1">
        <f t="shared" ref="L57:L68" si="19">IF(ABS(I57)&lt;ABS(K57),I57,K57)</f>
        <v>-3077735.1261712448</v>
      </c>
      <c r="M57" s="14">
        <f t="shared" ref="M57:M68" si="20">H57/1000</f>
        <v>2435.779813435393</v>
      </c>
      <c r="N57" s="14">
        <f t="shared" ref="N57:N68" si="21">I57/1000</f>
        <v>-3077.7351261712447</v>
      </c>
      <c r="O57" s="14">
        <f t="shared" ref="O57:O68" si="22">J57*1.43+10</f>
        <v>850.5932767613466</v>
      </c>
      <c r="P57" s="14">
        <f t="shared" ref="P57:P68" si="23">L57/1000</f>
        <v>-3077.7351261712447</v>
      </c>
      <c r="Q57" s="14">
        <f t="shared" ref="Q57:Q68" si="24">SQRT(M57^2+P57^2)</f>
        <v>3924.9811217899742</v>
      </c>
      <c r="R57" s="7">
        <f t="shared" ref="R57:R68" si="25">M57/SQRT(M57^2+P57^2)</f>
        <v>0.62058382903114806</v>
      </c>
    </row>
    <row r="58" spans="6:18" ht="16.5" thickTop="1" thickBot="1">
      <c r="F58" s="16"/>
      <c r="H58" s="33">
        <f>'V_1,1pu_DIG'!H58</f>
        <v>2214345.2849412663</v>
      </c>
      <c r="I58" s="8">
        <f t="shared" si="10"/>
        <v>-3218530.2151185004</v>
      </c>
      <c r="J58" s="12">
        <f t="shared" si="9"/>
        <v>583.92490305372928</v>
      </c>
      <c r="K58" s="1">
        <f t="shared" si="11"/>
        <v>-54693572.677097864</v>
      </c>
      <c r="L58" s="1">
        <f t="shared" si="19"/>
        <v>-3218530.2151185004</v>
      </c>
      <c r="M58" s="14">
        <f t="shared" si="20"/>
        <v>2214.3452849412661</v>
      </c>
      <c r="N58" s="14">
        <f t="shared" si="21"/>
        <v>-3218.5302151185006</v>
      </c>
      <c r="O58" s="14">
        <f t="shared" si="22"/>
        <v>845.01261136683286</v>
      </c>
      <c r="P58" s="14">
        <f t="shared" si="23"/>
        <v>-3218.5302151185006</v>
      </c>
      <c r="Q58" s="14">
        <f t="shared" si="24"/>
        <v>3906.6944833928796</v>
      </c>
      <c r="R58" s="7">
        <f t="shared" si="25"/>
        <v>0.56680789715047164</v>
      </c>
    </row>
    <row r="59" spans="6:18" ht="16.5" thickTop="1" thickBot="1">
      <c r="F59" s="16"/>
      <c r="H59" s="33">
        <f>'V_1,1pu_DIG'!H59</f>
        <v>1992910.7564471397</v>
      </c>
      <c r="I59" s="8">
        <f t="shared" si="10"/>
        <v>-3341482.1967549929</v>
      </c>
      <c r="J59" s="12">
        <f t="shared" si="9"/>
        <v>580.49545662949652</v>
      </c>
      <c r="K59" s="1">
        <f t="shared" si="11"/>
        <v>-54710550.535034582</v>
      </c>
      <c r="L59" s="1">
        <f t="shared" si="19"/>
        <v>-3341482.1967549929</v>
      </c>
      <c r="M59" s="14">
        <f t="shared" si="20"/>
        <v>1992.9107564471396</v>
      </c>
      <c r="N59" s="14">
        <f t="shared" si="21"/>
        <v>-3341.4821967549929</v>
      </c>
      <c r="O59" s="14">
        <f t="shared" si="22"/>
        <v>840.10850298017999</v>
      </c>
      <c r="P59" s="14">
        <f t="shared" si="23"/>
        <v>-3341.4821967549929</v>
      </c>
      <c r="Q59" s="14">
        <f t="shared" si="24"/>
        <v>3890.6550289627689</v>
      </c>
      <c r="R59" s="7">
        <f t="shared" si="25"/>
        <v>0.51223013647098925</v>
      </c>
    </row>
    <row r="60" spans="6:18" ht="16.5" thickTop="1" thickBot="1">
      <c r="F60" s="16"/>
      <c r="H60" s="33">
        <f>'V_1,1pu_DIG'!H60</f>
        <v>1771476.227953013</v>
      </c>
      <c r="I60" s="8">
        <f t="shared" si="10"/>
        <v>-3448254.7486338606</v>
      </c>
      <c r="J60" s="12">
        <f t="shared" si="9"/>
        <v>577.50077432101784</v>
      </c>
      <c r="K60" s="1">
        <f t="shared" si="11"/>
        <v>-54725732.352406986</v>
      </c>
      <c r="L60" s="1">
        <f t="shared" si="19"/>
        <v>-3448254.7486338606</v>
      </c>
      <c r="M60" s="14">
        <f t="shared" si="20"/>
        <v>1771.476227953013</v>
      </c>
      <c r="N60" s="14">
        <f t="shared" si="21"/>
        <v>-3448.2547486338608</v>
      </c>
      <c r="O60" s="14">
        <f t="shared" si="22"/>
        <v>835.82610727905546</v>
      </c>
      <c r="P60" s="14">
        <f t="shared" si="23"/>
        <v>-3448.2547486338608</v>
      </c>
      <c r="Q60" s="14">
        <f t="shared" si="24"/>
        <v>3876.6723923590198</v>
      </c>
      <c r="R60" s="7">
        <f t="shared" si="25"/>
        <v>0.45695793935144469</v>
      </c>
    </row>
    <row r="61" spans="6:18" ht="16.5" thickTop="1" thickBot="1">
      <c r="F61" s="16"/>
      <c r="H61" s="33">
        <f>'V_1,1pu_DIG'!H61</f>
        <v>1550041.6994588864</v>
      </c>
      <c r="I61" s="8">
        <f t="shared" si="10"/>
        <v>-3540128.1208254872</v>
      </c>
      <c r="J61" s="12">
        <f t="shared" si="9"/>
        <v>574.91148806075955</v>
      </c>
      <c r="K61" s="1">
        <f t="shared" si="11"/>
        <v>-54739121.106658891</v>
      </c>
      <c r="L61" s="1">
        <f t="shared" si="19"/>
        <v>-3540128.1208254872</v>
      </c>
      <c r="M61" s="14">
        <f t="shared" si="20"/>
        <v>1550.0416994588863</v>
      </c>
      <c r="N61" s="14">
        <f t="shared" si="21"/>
        <v>-3540.1281208254873</v>
      </c>
      <c r="O61" s="14">
        <f t="shared" si="22"/>
        <v>832.12342792688617</v>
      </c>
      <c r="P61" s="14">
        <f t="shared" si="23"/>
        <v>-3540.1281208254873</v>
      </c>
      <c r="Q61" s="14">
        <f t="shared" si="24"/>
        <v>3864.6004168504651</v>
      </c>
      <c r="R61" s="7">
        <f t="shared" si="25"/>
        <v>0.40108718425335277</v>
      </c>
    </row>
    <row r="62" spans="6:18" ht="16.5" thickTop="1" thickBot="1">
      <c r="F62" s="16"/>
      <c r="H62" s="33">
        <f>'V_1,1pu_DIG'!H62</f>
        <v>1328607.1709647598</v>
      </c>
      <c r="I62" s="8">
        <f t="shared" si="10"/>
        <v>-3618097.5437790728</v>
      </c>
      <c r="J62" s="12">
        <f t="shared" si="9"/>
        <v>572.70487660879041</v>
      </c>
      <c r="K62" s="1">
        <f t="shared" si="11"/>
        <v>-54750719.418121018</v>
      </c>
      <c r="L62" s="1">
        <f t="shared" si="19"/>
        <v>-3618097.5437790728</v>
      </c>
      <c r="M62" s="14">
        <f t="shared" si="20"/>
        <v>1328.6071709647597</v>
      </c>
      <c r="N62" s="14">
        <f t="shared" si="21"/>
        <v>-3618.097543779073</v>
      </c>
      <c r="O62" s="14">
        <f t="shared" si="22"/>
        <v>828.96797355057026</v>
      </c>
      <c r="P62" s="14">
        <f t="shared" si="23"/>
        <v>-3618.097543779073</v>
      </c>
      <c r="Q62" s="14">
        <f t="shared" si="24"/>
        <v>3854.3257323478956</v>
      </c>
      <c r="R62" s="7">
        <f t="shared" si="25"/>
        <v>0.3447054720399636</v>
      </c>
    </row>
    <row r="63" spans="6:18" ht="16.5" thickTop="1" thickBot="1">
      <c r="F63" s="16"/>
      <c r="H63" s="33">
        <f>'V_1,1pu_DIG'!H63</f>
        <v>1107172.6424706331</v>
      </c>
      <c r="I63" s="8">
        <f t="shared" si="10"/>
        <v>-3682938.9984836411</v>
      </c>
      <c r="J63" s="12">
        <f t="shared" si="9"/>
        <v>570.86330348878789</v>
      </c>
      <c r="K63" s="1">
        <f t="shared" si="11"/>
        <v>-54760529.552588224</v>
      </c>
      <c r="L63" s="1">
        <f t="shared" si="19"/>
        <v>-3682938.9984836411</v>
      </c>
      <c r="M63" s="14">
        <f t="shared" si="20"/>
        <v>1107.172642470633</v>
      </c>
      <c r="N63" s="14">
        <f t="shared" si="21"/>
        <v>-3682.9389984836412</v>
      </c>
      <c r="O63" s="14">
        <f t="shared" si="22"/>
        <v>826.33452398896668</v>
      </c>
      <c r="P63" s="14">
        <f t="shared" si="23"/>
        <v>-3682.9389984836412</v>
      </c>
      <c r="Q63" s="14">
        <f t="shared" si="24"/>
        <v>3845.7601234069566</v>
      </c>
      <c r="R63" s="7">
        <f t="shared" si="25"/>
        <v>0.28789435818731968</v>
      </c>
    </row>
    <row r="64" spans="6:18" ht="16.5" thickTop="1" thickBot="1">
      <c r="F64" s="16"/>
      <c r="H64" s="33">
        <f>'V_1,1pu_DIG'!H64</f>
        <v>885738.1139765064</v>
      </c>
      <c r="I64" s="8">
        <f t="shared" si="10"/>
        <v>-3735254.2715026243</v>
      </c>
      <c r="J64" s="12">
        <f t="shared" si="9"/>
        <v>569.3731470757948</v>
      </c>
      <c r="K64" s="1">
        <f t="shared" si="11"/>
        <v>-54768553.423541375</v>
      </c>
      <c r="L64" s="1">
        <f t="shared" si="19"/>
        <v>-3735254.2715026243</v>
      </c>
      <c r="M64" s="14">
        <f t="shared" si="20"/>
        <v>885.73811397650638</v>
      </c>
      <c r="N64" s="14">
        <f t="shared" si="21"/>
        <v>-3735.2542715026243</v>
      </c>
      <c r="O64" s="14">
        <f t="shared" si="22"/>
        <v>824.20360031838652</v>
      </c>
      <c r="P64" s="14">
        <f t="shared" si="23"/>
        <v>-3735.2542715026243</v>
      </c>
      <c r="Q64" s="14">
        <f t="shared" si="24"/>
        <v>3838.8353024490721</v>
      </c>
      <c r="R64" s="7">
        <f t="shared" si="25"/>
        <v>0.23073094941359679</v>
      </c>
    </row>
    <row r="65" spans="6:18" ht="16.5" thickTop="1" thickBot="1">
      <c r="F65" s="16"/>
      <c r="H65" s="33">
        <f>'V_1,1pu_DIG'!H65</f>
        <v>664303.58548237965</v>
      </c>
      <c r="I65" s="8">
        <f t="shared" si="10"/>
        <v>-3775502.2781143184</v>
      </c>
      <c r="J65" s="12">
        <f t="shared" si="9"/>
        <v>568.22405682503256</v>
      </c>
      <c r="K65" s="1">
        <f t="shared" si="11"/>
        <v>-54774792.594018683</v>
      </c>
      <c r="L65" s="1">
        <f t="shared" si="19"/>
        <v>-3775502.2781143184</v>
      </c>
      <c r="M65" s="14">
        <f t="shared" si="20"/>
        <v>664.30358548237962</v>
      </c>
      <c r="N65" s="14">
        <f t="shared" si="21"/>
        <v>-3775.5022781143184</v>
      </c>
      <c r="O65" s="14">
        <f t="shared" si="22"/>
        <v>822.56040125979655</v>
      </c>
      <c r="P65" s="14">
        <f t="shared" si="23"/>
        <v>-3775.5022781143184</v>
      </c>
      <c r="Q65" s="14">
        <f t="shared" si="24"/>
        <v>3833.4992768658708</v>
      </c>
      <c r="R65" s="7">
        <f t="shared" si="25"/>
        <v>0.17328908589895184</v>
      </c>
    </row>
    <row r="66" spans="6:18" ht="16.5" thickTop="1" thickBot="1">
      <c r="F66" s="16"/>
      <c r="H66" s="33">
        <f>'V_1,1pu_DIG'!H66</f>
        <v>442869.05698825291</v>
      </c>
      <c r="I66" s="8">
        <f t="shared" si="10"/>
        <v>-3804020.8892940711</v>
      </c>
      <c r="J66" s="12">
        <f t="shared" si="9"/>
        <v>567.40843499213815</v>
      </c>
      <c r="K66" s="1">
        <f t="shared" si="11"/>
        <v>-54779248.278141193</v>
      </c>
      <c r="L66" s="1">
        <f t="shared" si="19"/>
        <v>-3804020.8892940711</v>
      </c>
      <c r="M66" s="14">
        <f t="shared" si="20"/>
        <v>442.86905698825291</v>
      </c>
      <c r="N66" s="14">
        <f t="shared" si="21"/>
        <v>-3804.0208892940709</v>
      </c>
      <c r="O66" s="14">
        <f t="shared" si="22"/>
        <v>821.39406203875751</v>
      </c>
      <c r="P66" s="14">
        <f t="shared" si="23"/>
        <v>-3804.0208892940709</v>
      </c>
      <c r="Q66" s="14">
        <f t="shared" si="24"/>
        <v>3829.7138180056377</v>
      </c>
      <c r="R66" s="7">
        <f t="shared" si="25"/>
        <v>0.11564024834077066</v>
      </c>
    </row>
    <row r="67" spans="6:18" ht="16.5" thickTop="1" thickBot="1">
      <c r="F67" s="16"/>
      <c r="H67" s="33">
        <f>'V_1,1pu_DIG'!H67</f>
        <v>221434.52849412619</v>
      </c>
      <c r="I67" s="8">
        <f t="shared" si="10"/>
        <v>-3821041.8901471617</v>
      </c>
      <c r="J67" s="12">
        <f t="shared" si="9"/>
        <v>566.92108143451651</v>
      </c>
      <c r="K67" s="1">
        <f t="shared" si="11"/>
        <v>-54781921.342295676</v>
      </c>
      <c r="L67" s="1">
        <f t="shared" si="19"/>
        <v>-3821041.8901471617</v>
      </c>
      <c r="M67" s="14">
        <f t="shared" si="20"/>
        <v>221.4345284941262</v>
      </c>
      <c r="N67" s="14">
        <f t="shared" si="21"/>
        <v>-3821.0418901471617</v>
      </c>
      <c r="O67" s="14">
        <f t="shared" si="22"/>
        <v>820.69714645135855</v>
      </c>
      <c r="P67" s="14">
        <f t="shared" si="23"/>
        <v>-3821.0418901471617</v>
      </c>
      <c r="Q67" s="14">
        <f t="shared" si="24"/>
        <v>3827.4527269019027</v>
      </c>
      <c r="R67" s="7">
        <f t="shared" si="25"/>
        <v>5.785428176231569E-2</v>
      </c>
    </row>
    <row r="68" spans="6:18" ht="16.5" thickTop="1" thickBot="1">
      <c r="F68" s="16"/>
      <c r="H68" s="33">
        <f>'V_1,1pu_DIG'!H68</f>
        <v>-5.2386894822120667E-10</v>
      </c>
      <c r="I68" s="8">
        <f t="shared" si="10"/>
        <v>-3826700.7066923166</v>
      </c>
      <c r="J68" s="12">
        <f>SQRT(3)*SQRT(($B$3/SQRT(3)*K_1+SQRT(H68^2+I68^2)/SQRT(3)/$B$3/Nm*I68/SQRT(H68^2+I68^2)*K_2)^2+(SQRT(H68^2+I68^2)/SQRT(3)/$B$3/Nm*H68/SQRT(H68^2+I68^2)*K_2)^2)</f>
        <v>566.75896262983508</v>
      </c>
      <c r="K68" s="1">
        <f t="shared" si="11"/>
        <v>-54782812.305977479</v>
      </c>
      <c r="L68" s="1">
        <f t="shared" si="19"/>
        <v>-3826700.7066923166</v>
      </c>
      <c r="M68" s="14">
        <f t="shared" si="20"/>
        <v>-5.2386894822120663E-13</v>
      </c>
      <c r="N68" s="14">
        <f t="shared" si="21"/>
        <v>-3826.7007066923165</v>
      </c>
      <c r="O68" s="14">
        <f t="shared" si="22"/>
        <v>820.46531656066418</v>
      </c>
      <c r="P68" s="14">
        <f t="shared" si="23"/>
        <v>-3826.7007066923165</v>
      </c>
      <c r="Q68" s="14">
        <f t="shared" si="24"/>
        <v>3826.7007066923165</v>
      </c>
      <c r="R68" s="7">
        <f t="shared" si="25"/>
        <v>-1.3689833315290104E-16</v>
      </c>
    </row>
    <row r="69" spans="6:18" ht="15.75" thickTop="1"/>
  </sheetData>
  <hyperlinks>
    <hyperlink ref="A13" r:id="rId1" display="Vdc@Tmin" xr:uid="{00000000-0004-0000-0D00-000000000000}"/>
    <hyperlink ref="A22" r:id="rId2" display="P@PF=1 (W) (kW)" xr:uid="{00000000-0004-0000-0D00-000001000000}"/>
    <hyperlink ref="C22" r:id="rId3" display="P@PF=1 (kW)" xr:uid="{00000000-0004-0000-0D00-000002000000}"/>
    <hyperlink ref="C23" r:id="rId4" display="P@PF=1 (kW)" xr:uid="{00000000-0004-0000-0D00-000003000000}"/>
  </hyperlinks>
  <pageMargins left="0.7" right="0.7" top="0.75" bottom="0.75" header="0.3" footer="0.3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68"/>
  <sheetViews>
    <sheetView topLeftCell="B1" workbookViewId="0">
      <selection activeCell="D8" sqref="D8"/>
    </sheetView>
  </sheetViews>
  <sheetFormatPr baseColWidth="10" defaultRowHeight="15"/>
  <cols>
    <col min="1" max="1" width="28.140625" customWidth="1"/>
    <col min="2" max="2" width="14.5703125" bestFit="1" customWidth="1"/>
    <col min="3" max="3" width="17.42578125" bestFit="1" customWidth="1"/>
    <col min="4" max="4" width="10.5703125" bestFit="1" customWidth="1"/>
    <col min="5" max="5" width="9.140625"/>
    <col min="6" max="6" width="21.140625" bestFit="1" customWidth="1"/>
    <col min="7" max="7" width="9.140625"/>
    <col min="8" max="8" width="9.140625" hidden="1" customWidth="1"/>
    <col min="9" max="12" width="11.85546875" hidden="1" customWidth="1"/>
    <col min="13" max="13" width="10.5703125" bestFit="1" customWidth="1"/>
    <col min="14" max="15" width="10.5703125" customWidth="1"/>
    <col min="16" max="16" width="10.7109375" bestFit="1" customWidth="1"/>
    <col min="17" max="18" width="9.140625"/>
    <col min="19" max="19" width="10.85546875" bestFit="1" customWidth="1"/>
  </cols>
  <sheetData>
    <row r="1" spans="1:19" ht="15.75" thickBot="1">
      <c r="A1" s="3" t="s">
        <v>70</v>
      </c>
      <c r="B1">
        <f>Capability!B1</f>
        <v>620</v>
      </c>
      <c r="H1" s="1" t="s">
        <v>2</v>
      </c>
      <c r="I1" s="1" t="s">
        <v>3</v>
      </c>
      <c r="J1" s="1" t="s">
        <v>17</v>
      </c>
      <c r="K1" s="1" t="s">
        <v>4</v>
      </c>
      <c r="L1" s="1" t="s">
        <v>5</v>
      </c>
      <c r="M1" s="2" t="s">
        <v>6</v>
      </c>
      <c r="N1" s="2" t="s">
        <v>18</v>
      </c>
      <c r="O1" s="2" t="s">
        <v>19</v>
      </c>
      <c r="P1" s="2" t="s">
        <v>14</v>
      </c>
      <c r="Q1" s="2" t="s">
        <v>13</v>
      </c>
      <c r="R1" s="2" t="s">
        <v>12</v>
      </c>
    </row>
    <row r="2" spans="1:19" ht="16.5" thickTop="1" thickBot="1">
      <c r="A2" s="3" t="s">
        <v>71</v>
      </c>
      <c r="B2" s="28">
        <v>1.1000000000000001</v>
      </c>
      <c r="F2" t="s">
        <v>20</v>
      </c>
      <c r="G2" s="15">
        <f>Capability!G2</f>
        <v>3750</v>
      </c>
      <c r="H2" s="1">
        <f>G2*1000</f>
        <v>3750000</v>
      </c>
      <c r="I2" s="8">
        <f>Nm*(SQRT(IF(3/K_3^2*Ii^2*B3^2-(H2/Nm)^2&lt;0.0000000001,0,3/K_3^2*Ii^2*B3^2-(H2/Nm)^2))+B3^2/K_3*K_4)</f>
        <v>2858876.5257288995</v>
      </c>
      <c r="J2" s="11">
        <f>SQRT(3)*SQRT((B3/SQRT(3)*K_1+SQRT(H2^2+I2^2)/SQRT(3)/B3/Nm*I2/SQRT(H2^2+I2^2)*K_2)^2+(SQRT(H2^2+I2^2)/SQRT(3)/B3/Nm*H2/SQRT(H2^2+I2^2)*K_2)^2)</f>
        <v>744.71234130302355</v>
      </c>
      <c r="K2" s="1">
        <f>Nm*(SQRT(Vi^2*B3^2/K_2^2-(H2/Nm)^2)-B3^2*K_1/K_2)</f>
        <v>-509576.54306608066</v>
      </c>
      <c r="L2" s="1">
        <f>IF(ABS(I2)&lt;ABS(K2),I2,K2)</f>
        <v>-509576.54306608066</v>
      </c>
      <c r="M2" s="13">
        <f t="shared" ref="M2:N44" si="0">H2/1000</f>
        <v>3750</v>
      </c>
      <c r="N2" s="13">
        <f>I2/1000</f>
        <v>2858.8765257288997</v>
      </c>
      <c r="O2" s="13">
        <f>J2*1.43+10</f>
        <v>1074.9386480633236</v>
      </c>
      <c r="P2" s="13">
        <f t="shared" ref="P2:P44" si="1">L2/1000</f>
        <v>-509.57654306608066</v>
      </c>
      <c r="Q2" s="13">
        <f>SQRT(M2^2+P2^2)</f>
        <v>3784.4640642029058</v>
      </c>
      <c r="R2" s="9">
        <f>M2/SQRT(M2^2+P2^2)</f>
        <v>0.99089327745798939</v>
      </c>
      <c r="S2" s="10" t="s">
        <v>15</v>
      </c>
    </row>
    <row r="3" spans="1:19" ht="16.5" thickTop="1" thickBot="1">
      <c r="A3" s="21" t="s">
        <v>67</v>
      </c>
      <c r="B3" s="21">
        <f>$B$1*B2</f>
        <v>682</v>
      </c>
      <c r="F3" t="s">
        <v>21</v>
      </c>
      <c r="G3" s="15">
        <f>Capability!G3</f>
        <v>2846</v>
      </c>
      <c r="H3" s="1">
        <f>G3*1000</f>
        <v>2846000</v>
      </c>
      <c r="I3" s="8">
        <f>Nm*(-SQRT(IF(3/K_3^2*Ii^2*B3^2-(H3/Nm)^2&lt;0.0000000001,0,3/K_3^2*Ii^2*B3^2-(H3/Nm)^2))+B3^2/K_3*K_4)</f>
        <v>-2848429.748198682</v>
      </c>
      <c r="J3" s="12">
        <f>SQRT(3)*SQRT((B3/SQRT(3)*K_1+SQRT(H3^2+I3^2)/SQRT(3)/B3/Nm*I3/SQRT(H3^2+I3^2)*K_2)^2+(SQRT(H3^2+I3^2)/SQRT(3)/B3/Nm*H3/SQRT(H3^2+I3^2)*K_2)^2)</f>
        <v>607.64359257424962</v>
      </c>
      <c r="K3" s="1">
        <f>Nm*(-SQRT(Vi^2*B3^2/K_2^2-(H3/Nm)^2)-B3^2*K_1/K_2)</f>
        <v>-56166700.904363237</v>
      </c>
      <c r="L3" s="1">
        <f>IF(ABS(I3)&lt;ABS(K3),I3,K3)</f>
        <v>-2848429.748198682</v>
      </c>
      <c r="M3" s="13">
        <f t="shared" si="0"/>
        <v>2846</v>
      </c>
      <c r="N3" s="13">
        <f t="shared" si="0"/>
        <v>-2848.4297481986819</v>
      </c>
      <c r="O3" s="13">
        <f t="shared" ref="O3:O44" si="2">J3*1.43+10</f>
        <v>878.93033738117697</v>
      </c>
      <c r="P3" s="13">
        <f t="shared" si="1"/>
        <v>-2848.4297481986819</v>
      </c>
      <c r="Q3" s="13">
        <f>SQRT(M3^2+P3^2)</f>
        <v>4026.5702564866797</v>
      </c>
      <c r="R3" s="9">
        <f>M3/SQRT(M3^2+P3^2)</f>
        <v>0.70680500244971078</v>
      </c>
      <c r="S3" s="10" t="s">
        <v>16</v>
      </c>
    </row>
    <row r="4" spans="1:19" ht="15.75" thickTop="1">
      <c r="A4" s="3" t="s">
        <v>11</v>
      </c>
      <c r="B4" s="6">
        <f>Nm</f>
        <v>3</v>
      </c>
      <c r="F4" s="16"/>
      <c r="H4" s="1">
        <f>0</f>
        <v>0</v>
      </c>
      <c r="I4" s="8">
        <f t="shared" ref="I4:I36" si="3">Nm*(SQRT(IF(3/K_3^2*Ii^2*$B$3^2-(H4/Nm)^2&lt;0.0000000001,0,3/K_3^2*Ii^2*$B$3^2-(H4/Nm)^2))+$B$3^2/K_3*K_4)</f>
        <v>4943182.7694759388</v>
      </c>
      <c r="J4" s="12">
        <f t="shared" ref="J4:J35" si="4">SQRT(3)*SQRT(($B$3/SQRT(3)*K_1+SQRT(H4^2+I4^2)/SQRT(3)/$B$3/Nm*I4/SQRT(H4^2+I4^2)*K_2)^2+(SQRT(H4^2+I4^2)/SQRT(3)/$B$3/Nm*H4/SQRT(H4^2+I4^2)*K_2)^2)</f>
        <v>788.85484898254504</v>
      </c>
      <c r="K4" s="1">
        <f t="shared" ref="K4:K36" si="5">Nm*(SQRT(Vi^2*$B$3^2/K_2^2-(H5/Nm)^2)-$B$3^2*K_1/K_2)</f>
        <v>-258444.19784726948</v>
      </c>
      <c r="L4" s="1">
        <f>IF(ABS(I4)&lt;ABS(K4),I4,K4)</f>
        <v>-258444.19784726948</v>
      </c>
      <c r="M4" s="14">
        <f t="shared" si="0"/>
        <v>0</v>
      </c>
      <c r="N4" s="14">
        <f t="shared" si="0"/>
        <v>4943.1827694759386</v>
      </c>
      <c r="O4" s="14">
        <f t="shared" si="2"/>
        <v>1138.0624340450393</v>
      </c>
      <c r="P4" s="14">
        <f t="shared" si="1"/>
        <v>-258.44419784726949</v>
      </c>
      <c r="Q4" s="14">
        <f t="shared" ref="Q4:Q44" si="6">SQRT(M4^2+P4^2)</f>
        <v>258.44419784726949</v>
      </c>
      <c r="R4" s="7">
        <f>M4/SQRT(M4^2+P4^2)</f>
        <v>0</v>
      </c>
    </row>
    <row r="5" spans="1:19">
      <c r="A5" s="3" t="s">
        <v>1</v>
      </c>
      <c r="B5" s="6">
        <f>Capability!B5</f>
        <v>50</v>
      </c>
      <c r="C5" s="1" t="s">
        <v>32</v>
      </c>
      <c r="D5" s="1">
        <f>2*PI()*B5</f>
        <v>314.15926535897933</v>
      </c>
      <c r="F5" s="16"/>
      <c r="H5" s="1">
        <f>$B$22/20+H4</f>
        <v>221434.52849412672</v>
      </c>
      <c r="I5" s="8">
        <f t="shared" si="3"/>
        <v>4937626.9713265793</v>
      </c>
      <c r="J5" s="12">
        <f t="shared" si="4"/>
        <v>788.74046923589276</v>
      </c>
      <c r="K5" s="1">
        <f t="shared" si="5"/>
        <v>-261068.6531791985</v>
      </c>
      <c r="L5" s="1">
        <f t="shared" ref="L5:L44" si="7">IF(ABS(I5)&lt;ABS(K5),I5,K5)</f>
        <v>-261068.6531791985</v>
      </c>
      <c r="M5" s="14">
        <f t="shared" si="0"/>
        <v>221.43452849412671</v>
      </c>
      <c r="N5" s="14">
        <f t="shared" si="0"/>
        <v>4937.6269713265792</v>
      </c>
      <c r="O5" s="14">
        <f t="shared" si="2"/>
        <v>1137.8988710073265</v>
      </c>
      <c r="P5" s="14">
        <f t="shared" si="1"/>
        <v>-261.06865317919852</v>
      </c>
      <c r="Q5" s="14">
        <f t="shared" si="6"/>
        <v>342.33038439819632</v>
      </c>
      <c r="R5" s="7">
        <f t="shared" ref="R5:R44" si="8">M5/SQRT(M5^2+P5^2)</f>
        <v>0.64684450631923929</v>
      </c>
    </row>
    <row r="6" spans="1:19">
      <c r="A6" s="3" t="s">
        <v>0</v>
      </c>
      <c r="B6" s="6">
        <f>Capability!B6</f>
        <v>2700</v>
      </c>
      <c r="F6" s="16"/>
      <c r="H6" s="1">
        <f t="shared" ref="H6:H20" si="9">$B$22/20+H5</f>
        <v>442869.05698825343</v>
      </c>
      <c r="I6" s="8">
        <f t="shared" si="3"/>
        <v>4920917.4217906613</v>
      </c>
      <c r="J6" s="12">
        <f t="shared" si="4"/>
        <v>788.39636212420396</v>
      </c>
      <c r="K6" s="1">
        <f t="shared" si="5"/>
        <v>-265443.29167396389</v>
      </c>
      <c r="L6" s="1">
        <f t="shared" si="7"/>
        <v>-265443.29167396389</v>
      </c>
      <c r="M6" s="14">
        <f t="shared" si="0"/>
        <v>442.86905698825342</v>
      </c>
      <c r="N6" s="14">
        <f t="shared" si="0"/>
        <v>4920.9174217906611</v>
      </c>
      <c r="O6" s="14">
        <f t="shared" si="2"/>
        <v>1137.4067978376115</v>
      </c>
      <c r="P6" s="14">
        <f t="shared" si="1"/>
        <v>-265.44329167396387</v>
      </c>
      <c r="Q6" s="14">
        <f t="shared" si="6"/>
        <v>516.32658534339862</v>
      </c>
      <c r="R6" s="7">
        <f t="shared" si="8"/>
        <v>0.85773049376047517</v>
      </c>
    </row>
    <row r="7" spans="1:19">
      <c r="A7" s="3" t="s">
        <v>43</v>
      </c>
      <c r="B7" s="6">
        <f>Capability!B7</f>
        <v>33</v>
      </c>
      <c r="C7" s="1" t="s">
        <v>40</v>
      </c>
      <c r="D7" s="1">
        <f>B7+aux!C6</f>
        <v>44.25</v>
      </c>
      <c r="F7" s="16"/>
      <c r="H7" s="1">
        <f t="shared" si="9"/>
        <v>664303.58548238012</v>
      </c>
      <c r="I7" s="8">
        <f t="shared" si="3"/>
        <v>4892926.0399596142</v>
      </c>
      <c r="J7" s="12">
        <f t="shared" si="4"/>
        <v>787.81958649551279</v>
      </c>
      <c r="K7" s="1">
        <f t="shared" si="5"/>
        <v>-271568.93328134716</v>
      </c>
      <c r="L7" s="1">
        <f t="shared" si="7"/>
        <v>-271568.93328134716</v>
      </c>
      <c r="M7" s="14">
        <f t="shared" si="0"/>
        <v>664.30358548238007</v>
      </c>
      <c r="N7" s="14">
        <f t="shared" si="0"/>
        <v>4892.9260399596142</v>
      </c>
      <c r="O7" s="14">
        <f t="shared" si="2"/>
        <v>1136.5820086885833</v>
      </c>
      <c r="P7" s="14">
        <f t="shared" si="1"/>
        <v>-271.56893328134714</v>
      </c>
      <c r="Q7" s="14">
        <f t="shared" si="6"/>
        <v>717.66910147247847</v>
      </c>
      <c r="R7" s="7">
        <f t="shared" si="8"/>
        <v>0.92564049938808057</v>
      </c>
    </row>
    <row r="8" spans="1:19">
      <c r="A8" s="3" t="s">
        <v>41</v>
      </c>
      <c r="B8" s="6">
        <f>Capability!B8</f>
        <v>951.5</v>
      </c>
      <c r="C8" s="1" t="s">
        <v>33</v>
      </c>
      <c r="D8" s="1">
        <f>IF(B8&gt;1250,1250,IF(B8&lt;B3*1.43,B3*1.43,B8))</f>
        <v>975.26</v>
      </c>
      <c r="F8" s="16"/>
      <c r="H8" s="1">
        <f t="shared" si="9"/>
        <v>885738.11397650687</v>
      </c>
      <c r="I8" s="8">
        <f t="shared" si="3"/>
        <v>4853433.8254314158</v>
      </c>
      <c r="J8" s="12">
        <f t="shared" si="4"/>
        <v>787.00511188543101</v>
      </c>
      <c r="K8" s="1">
        <f t="shared" si="5"/>
        <v>-279446.72700719163</v>
      </c>
      <c r="L8" s="1">
        <f t="shared" si="7"/>
        <v>-279446.72700719163</v>
      </c>
      <c r="M8" s="14">
        <f t="shared" si="0"/>
        <v>885.73811397650684</v>
      </c>
      <c r="N8" s="14">
        <f t="shared" si="0"/>
        <v>4853.4338254314162</v>
      </c>
      <c r="O8" s="14">
        <f t="shared" si="2"/>
        <v>1135.4173099961663</v>
      </c>
      <c r="P8" s="14">
        <f t="shared" si="1"/>
        <v>-279.44672700719161</v>
      </c>
      <c r="Q8" s="14">
        <f t="shared" si="6"/>
        <v>928.77471960949242</v>
      </c>
      <c r="R8" s="7">
        <f t="shared" si="8"/>
        <v>0.95366303073894976</v>
      </c>
    </row>
    <row r="9" spans="1:19">
      <c r="A9" s="21" t="s">
        <v>45</v>
      </c>
      <c r="B9" s="20">
        <f>IF(B25=1,IF(D7&gt;aux!B12,(D7-aux!B12)/(aux!B13-aux!B12)*(aux!C13-aux!C12)+aux!C12,IF(D7&gt;aux!B11,(D7-aux!B11)/(aux!B12-aux!B11)*(aux!C12-aux!C11)+aux!C11,aux!C10)),1)</f>
        <v>1.0445396825396824</v>
      </c>
      <c r="F9" s="16"/>
      <c r="H9" s="1">
        <f t="shared" si="9"/>
        <v>1107172.6424706336</v>
      </c>
      <c r="I9" s="8">
        <f t="shared" si="3"/>
        <v>4802122.0218985938</v>
      </c>
      <c r="J9" s="12">
        <f t="shared" si="4"/>
        <v>785.94561315159376</v>
      </c>
      <c r="K9" s="1">
        <f t="shared" si="5"/>
        <v>-289078.15199234337</v>
      </c>
      <c r="L9" s="1">
        <f t="shared" si="7"/>
        <v>-289078.15199234337</v>
      </c>
      <c r="M9" s="14">
        <f t="shared" si="0"/>
        <v>1107.1726424706337</v>
      </c>
      <c r="N9" s="14">
        <f t="shared" si="0"/>
        <v>4802.1220218985936</v>
      </c>
      <c r="O9" s="14">
        <f t="shared" si="2"/>
        <v>1133.902226806779</v>
      </c>
      <c r="P9" s="14">
        <f t="shared" si="1"/>
        <v>-289.07815199234335</v>
      </c>
      <c r="Q9" s="14">
        <f t="shared" si="6"/>
        <v>1144.2890536025914</v>
      </c>
      <c r="R9" s="7">
        <f t="shared" si="8"/>
        <v>0.96756378030961387</v>
      </c>
    </row>
    <row r="10" spans="1:19">
      <c r="A10" s="21" t="s">
        <v>46</v>
      </c>
      <c r="B10" s="20">
        <f>IF(B25=1,IF(D8&gt;aux!B20,0,IF(D8&gt;aux!B19,(D8-aux!B19)*(aux!C19-aux!C20)/(aux!B19-aux!B20)+aux!C19,IF(D8&gt;aux!B18,(aux!C18-aux!C19)/(aux!B18-aux!B19)*(D8-aux!B18)+aux!C18,IF(D8&gt;aux!B17,(aux!C17-aux!C18)/(aux!B17-aux!B18)*(D8-aux!B17)+aux!C17,aux!C17)))),1)</f>
        <v>1.13737</v>
      </c>
      <c r="F10" s="16"/>
      <c r="H10" s="1">
        <f t="shared" si="9"/>
        <v>1328607.1709647602</v>
      </c>
      <c r="I10" s="8">
        <f t="shared" si="3"/>
        <v>4738558.5752123157</v>
      </c>
      <c r="J10" s="12">
        <f t="shared" si="4"/>
        <v>784.63115564941245</v>
      </c>
      <c r="K10" s="1">
        <f t="shared" si="5"/>
        <v>-300465.01890392974</v>
      </c>
      <c r="L10" s="1">
        <f t="shared" si="7"/>
        <v>-300465.01890392974</v>
      </c>
      <c r="M10" s="14">
        <f t="shared" si="0"/>
        <v>1328.6071709647601</v>
      </c>
      <c r="N10" s="14">
        <f t="shared" si="0"/>
        <v>4738.5585752123161</v>
      </c>
      <c r="O10" s="14">
        <f t="shared" si="2"/>
        <v>1132.0225525786598</v>
      </c>
      <c r="P10" s="14">
        <f t="shared" si="1"/>
        <v>-300.46501890392972</v>
      </c>
      <c r="Q10" s="14">
        <f t="shared" si="6"/>
        <v>1362.1586700248699</v>
      </c>
      <c r="R10" s="7">
        <f t="shared" si="8"/>
        <v>0.97536887603593403</v>
      </c>
    </row>
    <row r="11" spans="1:19">
      <c r="A11" s="21" t="s">
        <v>49</v>
      </c>
      <c r="B11" s="20">
        <f>B9*B10</f>
        <v>1.1880280987301586</v>
      </c>
      <c r="F11" s="16"/>
      <c r="H11" s="1">
        <f t="shared" si="9"/>
        <v>1550041.6994588869</v>
      </c>
      <c r="I11" s="8">
        <f t="shared" si="3"/>
        <v>4662178.4668984637</v>
      </c>
      <c r="J11" s="12">
        <f t="shared" si="4"/>
        <v>783.04873784068138</v>
      </c>
      <c r="K11" s="1">
        <f t="shared" si="5"/>
        <v>-313609.47164205462</v>
      </c>
      <c r="L11" s="1">
        <f t="shared" si="7"/>
        <v>-313609.47164205462</v>
      </c>
      <c r="M11" s="14">
        <f t="shared" si="0"/>
        <v>1550.0416994588868</v>
      </c>
      <c r="N11" s="14">
        <f t="shared" si="0"/>
        <v>4662.1784668984637</v>
      </c>
      <c r="O11" s="14">
        <f t="shared" si="2"/>
        <v>1129.7596951121743</v>
      </c>
      <c r="P11" s="14">
        <f t="shared" si="1"/>
        <v>-313.60947164205464</v>
      </c>
      <c r="Q11" s="14">
        <f t="shared" si="6"/>
        <v>1581.4487569203759</v>
      </c>
      <c r="R11" s="7">
        <f t="shared" si="8"/>
        <v>0.98014032555651731</v>
      </c>
    </row>
    <row r="12" spans="1:19">
      <c r="A12" s="3" t="s">
        <v>44</v>
      </c>
      <c r="B12" s="6">
        <f>Capability!B12</f>
        <v>-5</v>
      </c>
      <c r="C12" s="1" t="s">
        <v>39</v>
      </c>
      <c r="D12" s="1">
        <f>B12+aux!C6</f>
        <v>6.25</v>
      </c>
      <c r="F12" s="16"/>
      <c r="H12" s="1">
        <f t="shared" si="9"/>
        <v>1771476.2279530135</v>
      </c>
      <c r="I12" s="8">
        <f t="shared" si="3"/>
        <v>4572255.6638057288</v>
      </c>
      <c r="J12" s="12">
        <f t="shared" si="4"/>
        <v>781.18163860474158</v>
      </c>
      <c r="K12" s="1">
        <f t="shared" si="5"/>
        <v>-328513.98936559819</v>
      </c>
      <c r="L12" s="1">
        <f t="shared" si="7"/>
        <v>-328513.98936559819</v>
      </c>
      <c r="M12" s="14">
        <f t="shared" si="0"/>
        <v>1771.4762279530134</v>
      </c>
      <c r="N12" s="14">
        <f t="shared" si="0"/>
        <v>4572.2556638057285</v>
      </c>
      <c r="O12" s="14">
        <f t="shared" si="2"/>
        <v>1127.0897432047805</v>
      </c>
      <c r="P12" s="14">
        <f t="shared" si="1"/>
        <v>-328.51398936559821</v>
      </c>
      <c r="Q12" s="14">
        <f t="shared" si="6"/>
        <v>1801.6796239652424</v>
      </c>
      <c r="R12" s="7">
        <f t="shared" si="8"/>
        <v>0.98323597846671784</v>
      </c>
    </row>
    <row r="13" spans="1:19">
      <c r="A13" s="3" t="s">
        <v>42</v>
      </c>
      <c r="B13" s="19">
        <f>Capability!B13</f>
        <v>1130</v>
      </c>
      <c r="C13" s="1" t="s">
        <v>48</v>
      </c>
      <c r="D13" s="1">
        <f>IF(B13&gt;1250,1250,IF(B13&lt;B3*1.43,B3*1.43,B13))</f>
        <v>1130</v>
      </c>
      <c r="F13" s="16"/>
      <c r="H13" s="1">
        <f t="shared" si="9"/>
        <v>1992910.7564471401</v>
      </c>
      <c r="I13" s="8">
        <f t="shared" si="3"/>
        <v>4467863.0790696638</v>
      </c>
      <c r="J13" s="12">
        <f t="shared" si="4"/>
        <v>779.00848509004595</v>
      </c>
      <c r="K13" s="1">
        <f t="shared" si="5"/>
        <v>-345181.38884165883</v>
      </c>
      <c r="L13" s="1">
        <f t="shared" si="7"/>
        <v>-345181.38884165883</v>
      </c>
      <c r="M13" s="14">
        <f t="shared" si="0"/>
        <v>1992.9107564471401</v>
      </c>
      <c r="N13" s="14">
        <f t="shared" si="0"/>
        <v>4467.8630790696634</v>
      </c>
      <c r="O13" s="14">
        <f t="shared" si="2"/>
        <v>1123.9821336787656</v>
      </c>
      <c r="P13" s="14">
        <f t="shared" si="1"/>
        <v>-345.18138884165882</v>
      </c>
      <c r="Q13" s="14">
        <f t="shared" si="6"/>
        <v>2022.583366480939</v>
      </c>
      <c r="R13" s="7">
        <f t="shared" si="8"/>
        <v>0.9853293513011403</v>
      </c>
    </row>
    <row r="14" spans="1:19">
      <c r="A14" s="21" t="s">
        <v>47</v>
      </c>
      <c r="B14" s="20">
        <f>IF(B25=1,IF(D12&gt;aux!B12,(D12-aux!B12)/(aux!B13-aux!B12)*(aux!C13-aux!C12)+aux!C12,IF(D12&gt;aux!B11,(D12-aux!B11)/(aux!B12-aux!B11)*(aux!C12-aux!C11)+aux!C11,aux!C10)),1)</f>
        <v>1.1161904761904762</v>
      </c>
      <c r="F14" s="16"/>
      <c r="H14" s="1">
        <f t="shared" si="9"/>
        <v>2214345.2849412668</v>
      </c>
      <c r="I14" s="8">
        <f t="shared" si="3"/>
        <v>4347814.6755893119</v>
      </c>
      <c r="J14" s="12">
        <f t="shared" si="4"/>
        <v>776.50190403481986</v>
      </c>
      <c r="K14" s="1">
        <f t="shared" si="5"/>
        <v>-363614.82712387852</v>
      </c>
      <c r="L14" s="1">
        <f t="shared" si="7"/>
        <v>-363614.82712387852</v>
      </c>
      <c r="M14" s="14">
        <f t="shared" si="0"/>
        <v>2214.345284941267</v>
      </c>
      <c r="N14" s="14">
        <f t="shared" si="0"/>
        <v>4347.8146755893122</v>
      </c>
      <c r="O14" s="14">
        <f t="shared" si="2"/>
        <v>1120.3977227697924</v>
      </c>
      <c r="P14" s="14">
        <f t="shared" si="1"/>
        <v>-363.61482712387851</v>
      </c>
      <c r="Q14" s="14">
        <f t="shared" si="6"/>
        <v>2244.0010658299498</v>
      </c>
      <c r="R14" s="7">
        <f t="shared" si="8"/>
        <v>0.98678441764566871</v>
      </c>
    </row>
    <row r="15" spans="1:19">
      <c r="A15" s="21" t="s">
        <v>37</v>
      </c>
      <c r="B15" s="20">
        <f>IF(B25=1,IF(B13&gt;aux!B20,0,IF(B13&gt;aux!B19,(B13-aux!B19)*(aux!C19-aux!C20)/(aux!B19-aux!B20)+aux!C19,IF(B13&gt;aux!B18,(aux!C18-aux!C19)/(aux!B18-aux!B19)*(B13-aux!B18)+aux!C18,IF(B13&gt;aux!B17,(aux!C17-aux!C18)/(aux!B17-aux!B18)*(B13-aux!B17)+aux!C17,aux!C17)))),1)</f>
        <v>1.06</v>
      </c>
      <c r="F15" s="16"/>
      <c r="H15" s="1">
        <f t="shared" si="9"/>
        <v>2435779.8134353934</v>
      </c>
      <c r="I15" s="8">
        <f t="shared" si="3"/>
        <v>4210579.8437261218</v>
      </c>
      <c r="J15" s="12">
        <f t="shared" si="4"/>
        <v>773.62652598335796</v>
      </c>
      <c r="K15" s="1">
        <f t="shared" si="5"/>
        <v>-383817.80456558056</v>
      </c>
      <c r="L15" s="1">
        <f t="shared" si="7"/>
        <v>-383817.80456558056</v>
      </c>
      <c r="M15" s="14">
        <f t="shared" si="0"/>
        <v>2435.7798134353934</v>
      </c>
      <c r="N15" s="14">
        <f t="shared" si="0"/>
        <v>4210.5798437261219</v>
      </c>
      <c r="O15" s="14">
        <f t="shared" si="2"/>
        <v>1116.2859321562019</v>
      </c>
      <c r="P15" s="14">
        <f t="shared" si="1"/>
        <v>-383.81780456558056</v>
      </c>
      <c r="Q15" s="14">
        <f t="shared" si="6"/>
        <v>2465.8344240116576</v>
      </c>
      <c r="R15" s="7">
        <f t="shared" si="8"/>
        <v>0.98781158609694142</v>
      </c>
    </row>
    <row r="16" spans="1:19">
      <c r="A16" s="21" t="s">
        <v>50</v>
      </c>
      <c r="B16" s="20">
        <f>B14*B15</f>
        <v>1.1831619047619049</v>
      </c>
      <c r="F16" s="16"/>
      <c r="H16" s="1">
        <f t="shared" si="9"/>
        <v>2657214.34192952</v>
      </c>
      <c r="I16" s="8">
        <f t="shared" si="3"/>
        <v>4054152.7356369537</v>
      </c>
      <c r="J16" s="12">
        <f t="shared" si="4"/>
        <v>770.33593760885174</v>
      </c>
      <c r="K16" s="1">
        <f t="shared" si="5"/>
        <v>-405794.16817445867</v>
      </c>
      <c r="L16" s="1">
        <f t="shared" si="7"/>
        <v>-405794.16817445867</v>
      </c>
      <c r="M16" s="14">
        <f t="shared" si="0"/>
        <v>2657.2143419295198</v>
      </c>
      <c r="N16" s="14">
        <f t="shared" si="0"/>
        <v>4054.1527356369538</v>
      </c>
      <c r="O16" s="14">
        <f t="shared" si="2"/>
        <v>1111.580390780658</v>
      </c>
      <c r="P16" s="14">
        <f t="shared" si="1"/>
        <v>-405.79416817445866</v>
      </c>
      <c r="Q16" s="14">
        <f t="shared" si="6"/>
        <v>2688.0210129164416</v>
      </c>
      <c r="R16" s="7">
        <f t="shared" si="8"/>
        <v>0.98853927449268808</v>
      </c>
    </row>
    <row r="17" spans="1:18">
      <c r="A17" s="21"/>
      <c r="B17" s="20"/>
      <c r="F17" s="16"/>
      <c r="H17" s="1">
        <f t="shared" si="9"/>
        <v>2878648.8704236466</v>
      </c>
      <c r="I17" s="8">
        <f t="shared" si="3"/>
        <v>3875844.486945671</v>
      </c>
      <c r="J17" s="12">
        <f t="shared" si="4"/>
        <v>766.56783223799766</v>
      </c>
      <c r="K17" s="1">
        <f t="shared" si="5"/>
        <v>-429548.11531652883</v>
      </c>
      <c r="L17" s="1">
        <f t="shared" si="7"/>
        <v>-429548.11531652883</v>
      </c>
      <c r="M17" s="14">
        <f t="shared" si="0"/>
        <v>2878.6488704236467</v>
      </c>
      <c r="N17" s="14">
        <f t="shared" si="0"/>
        <v>3875.8444869456712</v>
      </c>
      <c r="O17" s="14">
        <f t="shared" si="2"/>
        <v>1106.1920001003366</v>
      </c>
      <c r="P17" s="14">
        <f t="shared" si="1"/>
        <v>-429.54811531652882</v>
      </c>
      <c r="Q17" s="14">
        <f t="shared" si="6"/>
        <v>2910.5207270458181</v>
      </c>
      <c r="R17" s="7">
        <f t="shared" si="8"/>
        <v>0.98904943148969726</v>
      </c>
    </row>
    <row r="18" spans="1:18" ht="18.75">
      <c r="A18" s="23" t="s">
        <v>53</v>
      </c>
      <c r="B18" s="24">
        <f>MIN(B16,B11)</f>
        <v>1.1831619047619049</v>
      </c>
      <c r="F18" s="16"/>
      <c r="H18" s="1">
        <f t="shared" si="9"/>
        <v>3100083.3989177733</v>
      </c>
      <c r="I18" s="8">
        <f t="shared" si="3"/>
        <v>3671934.7998092528</v>
      </c>
      <c r="J18" s="12">
        <f t="shared" si="4"/>
        <v>762.23587249489321</v>
      </c>
      <c r="K18" s="1">
        <f t="shared" si="5"/>
        <v>-455084.19777760282</v>
      </c>
      <c r="L18" s="1">
        <f t="shared" si="7"/>
        <v>-455084.19777760282</v>
      </c>
      <c r="M18" s="14">
        <f t="shared" si="0"/>
        <v>3100.0833989177731</v>
      </c>
      <c r="N18" s="14">
        <f t="shared" si="0"/>
        <v>3671.934799809253</v>
      </c>
      <c r="O18" s="14">
        <f t="shared" si="2"/>
        <v>1099.9972976676972</v>
      </c>
      <c r="P18" s="14">
        <f t="shared" si="1"/>
        <v>-455.08419777760281</v>
      </c>
      <c r="Q18" s="14">
        <f t="shared" si="6"/>
        <v>3133.307949645623</v>
      </c>
      <c r="R18" s="7">
        <f t="shared" si="8"/>
        <v>0.98939633407829974</v>
      </c>
    </row>
    <row r="19" spans="1:18">
      <c r="A19" s="21"/>
      <c r="B19" s="20"/>
      <c r="F19" s="16"/>
      <c r="H19" s="1">
        <f t="shared" si="9"/>
        <v>3321517.9274118999</v>
      </c>
      <c r="I19" s="8">
        <f t="shared" si="3"/>
        <v>3437045.7736740382</v>
      </c>
      <c r="J19" s="12">
        <f t="shared" si="4"/>
        <v>757.21505623220469</v>
      </c>
      <c r="K19" s="1">
        <f t="shared" si="5"/>
        <v>-482407.32619159296</v>
      </c>
      <c r="L19" s="1">
        <f t="shared" si="7"/>
        <v>-482407.32619159296</v>
      </c>
      <c r="M19" s="14">
        <f t="shared" si="0"/>
        <v>3321.5179274119</v>
      </c>
      <c r="N19" s="14">
        <f t="shared" si="0"/>
        <v>3437.0457736740382</v>
      </c>
      <c r="O19" s="14">
        <f t="shared" si="2"/>
        <v>1092.8175304120527</v>
      </c>
      <c r="P19" s="14">
        <f t="shared" si="1"/>
        <v>-482.40732619159297</v>
      </c>
      <c r="Q19" s="14">
        <f t="shared" si="6"/>
        <v>3356.3668110744338</v>
      </c>
      <c r="R19" s="7">
        <f t="shared" si="8"/>
        <v>0.98961708131913684</v>
      </c>
    </row>
    <row r="20" spans="1:18">
      <c r="A20" s="21" t="s">
        <v>36</v>
      </c>
      <c r="B20" s="4">
        <f>(D8-10)/1.43</f>
        <v>675.00699300699307</v>
      </c>
      <c r="F20" s="16"/>
      <c r="H20" s="1">
        <f t="shared" si="9"/>
        <v>3542952.4559060265</v>
      </c>
      <c r="I20" s="8">
        <f t="shared" si="3"/>
        <v>3162906.6598000294</v>
      </c>
      <c r="J20" s="12">
        <f t="shared" si="4"/>
        <v>751.31282877117928</v>
      </c>
      <c r="K20" s="1">
        <f t="shared" si="5"/>
        <v>-489517.94424284063</v>
      </c>
      <c r="L20" s="1">
        <f t="shared" si="7"/>
        <v>-489517.94424284063</v>
      </c>
      <c r="M20" s="14">
        <f t="shared" si="0"/>
        <v>3542.9524559060264</v>
      </c>
      <c r="N20" s="14">
        <f t="shared" si="0"/>
        <v>3162.9066598000295</v>
      </c>
      <c r="O20" s="14">
        <f t="shared" si="2"/>
        <v>1084.3773451427862</v>
      </c>
      <c r="P20" s="14">
        <f t="shared" si="1"/>
        <v>-489.51794424284066</v>
      </c>
      <c r="Q20" s="14">
        <f t="shared" si="6"/>
        <v>3576.610116094048</v>
      </c>
      <c r="R20" s="7">
        <f t="shared" si="8"/>
        <v>0.99058950819476554</v>
      </c>
    </row>
    <row r="21" spans="1:18">
      <c r="A21" s="21" t="s">
        <v>34</v>
      </c>
      <c r="B21" s="5">
        <f>IF(B25=1,(IF(B9*B10&gt;B18,B18,B9*B10))*Ii_r,B26)</f>
        <v>1242.3200000000002</v>
      </c>
      <c r="F21" s="16"/>
      <c r="H21" s="1">
        <f>$B$22/80+H20</f>
        <v>3598311.0880295583</v>
      </c>
      <c r="I21" s="8">
        <f t="shared" si="3"/>
        <v>3086801.0168465739</v>
      </c>
      <c r="J21" s="12">
        <f t="shared" si="4"/>
        <v>749.66602988601926</v>
      </c>
      <c r="K21" s="1">
        <f t="shared" si="5"/>
        <v>-496740.66650125757</v>
      </c>
      <c r="L21" s="1">
        <f t="shared" si="7"/>
        <v>-496740.66650125757</v>
      </c>
      <c r="M21" s="14">
        <f t="shared" si="0"/>
        <v>3598.3110880295585</v>
      </c>
      <c r="N21" s="14">
        <f t="shared" si="0"/>
        <v>3086.8010168465739</v>
      </c>
      <c r="O21" s="14">
        <f t="shared" si="2"/>
        <v>1082.0224227370074</v>
      </c>
      <c r="P21" s="14">
        <f t="shared" si="1"/>
        <v>-496.74066650125758</v>
      </c>
      <c r="Q21" s="14">
        <f t="shared" si="6"/>
        <v>3632.4363691594899</v>
      </c>
      <c r="R21" s="7">
        <f t="shared" si="8"/>
        <v>0.99060540153719812</v>
      </c>
    </row>
    <row r="22" spans="1:18" ht="18.75">
      <c r="A22" s="21" t="s">
        <v>59</v>
      </c>
      <c r="B22" s="1">
        <f>Nm*SQRT(3)*B3*Ii/K_3^2</f>
        <v>4428690.5698825344</v>
      </c>
      <c r="C22" s="25" t="s">
        <v>74</v>
      </c>
      <c r="D22" s="26">
        <f>B22/1000</f>
        <v>4428.6905698825349</v>
      </c>
      <c r="F22" s="16"/>
      <c r="H22" s="1">
        <f t="shared" ref="H22:H36" si="10">$B$22/80+H21</f>
        <v>3653669.7201530901</v>
      </c>
      <c r="I22" s="8">
        <f t="shared" si="3"/>
        <v>3007126.0244419454</v>
      </c>
      <c r="J22" s="12">
        <f t="shared" si="4"/>
        <v>747.93811128955588</v>
      </c>
      <c r="K22" s="1">
        <f t="shared" si="5"/>
        <v>-504075.58040562831</v>
      </c>
      <c r="L22" s="1">
        <f t="shared" si="7"/>
        <v>-504075.58040562831</v>
      </c>
      <c r="M22" s="14">
        <f t="shared" si="0"/>
        <v>3653.6697201530901</v>
      </c>
      <c r="N22" s="14">
        <f t="shared" si="0"/>
        <v>3007.1260244419454</v>
      </c>
      <c r="O22" s="14">
        <f t="shared" si="2"/>
        <v>1079.5514991440648</v>
      </c>
      <c r="P22" s="14">
        <f t="shared" si="1"/>
        <v>-504.07558040562833</v>
      </c>
      <c r="Q22" s="14">
        <f t="shared" si="6"/>
        <v>3688.2780012798426</v>
      </c>
      <c r="R22" s="7">
        <f t="shared" si="8"/>
        <v>0.99061668314732698</v>
      </c>
    </row>
    <row r="23" spans="1:18" ht="18.75">
      <c r="A23" s="21" t="s">
        <v>51</v>
      </c>
      <c r="B23" s="1">
        <f>B3*Ii*SQRT(3)*Nm</f>
        <v>4402503.741043848</v>
      </c>
      <c r="C23" s="25" t="s">
        <v>52</v>
      </c>
      <c r="D23" s="26">
        <f>B23/1000</f>
        <v>4402.5037410438481</v>
      </c>
      <c r="F23" s="16"/>
      <c r="H23" s="1">
        <f t="shared" si="10"/>
        <v>3709028.3522766219</v>
      </c>
      <c r="I23" s="8">
        <f t="shared" si="3"/>
        <v>2923525.6189155169</v>
      </c>
      <c r="J23" s="12">
        <f t="shared" si="4"/>
        <v>746.12075970549074</v>
      </c>
      <c r="K23" s="1">
        <f t="shared" si="5"/>
        <v>-511522.77484601922</v>
      </c>
      <c r="L23" s="1">
        <f t="shared" si="7"/>
        <v>-511522.77484601922</v>
      </c>
      <c r="M23" s="14">
        <f t="shared" si="0"/>
        <v>3709.0283522766217</v>
      </c>
      <c r="N23" s="14">
        <f t="shared" si="0"/>
        <v>2923.525618915517</v>
      </c>
      <c r="O23" s="14">
        <f t="shared" si="2"/>
        <v>1076.9526863788517</v>
      </c>
      <c r="P23" s="14">
        <f t="shared" si="1"/>
        <v>-511.52277484601922</v>
      </c>
      <c r="Q23" s="14">
        <f t="shared" si="6"/>
        <v>3744.1349958539163</v>
      </c>
      <c r="R23" s="7">
        <f t="shared" si="8"/>
        <v>0.9906235636225269</v>
      </c>
    </row>
    <row r="24" spans="1:18">
      <c r="A24" s="27"/>
      <c r="F24" s="16"/>
      <c r="H24" s="1">
        <f t="shared" si="10"/>
        <v>3764386.9844001536</v>
      </c>
      <c r="I24" s="8">
        <f t="shared" si="3"/>
        <v>2835573.274718083</v>
      </c>
      <c r="J24" s="12">
        <f t="shared" si="4"/>
        <v>744.20401276360064</v>
      </c>
      <c r="K24" s="1">
        <f t="shared" si="5"/>
        <v>-519082.34016929381</v>
      </c>
      <c r="L24" s="1">
        <f t="shared" si="7"/>
        <v>-519082.34016929381</v>
      </c>
      <c r="M24" s="14">
        <f t="shared" si="0"/>
        <v>3764.3869844001538</v>
      </c>
      <c r="N24" s="14">
        <f t="shared" si="0"/>
        <v>2835.5732747180828</v>
      </c>
      <c r="O24" s="14">
        <f t="shared" si="2"/>
        <v>1074.2117382519489</v>
      </c>
      <c r="P24" s="14">
        <f t="shared" si="1"/>
        <v>-519.08234016929384</v>
      </c>
      <c r="Q24" s="14">
        <f t="shared" si="6"/>
        <v>3800.0073479135422</v>
      </c>
      <c r="R24" s="7">
        <f t="shared" si="8"/>
        <v>0.99062623825373752</v>
      </c>
    </row>
    <row r="25" spans="1:18">
      <c r="A25" s="3" t="s">
        <v>38</v>
      </c>
      <c r="B25" s="6">
        <f>Capability!B25</f>
        <v>1</v>
      </c>
      <c r="F25" s="16"/>
      <c r="H25" s="1">
        <f t="shared" si="10"/>
        <v>3819745.6165236854</v>
      </c>
      <c r="I25" s="8">
        <f t="shared" si="3"/>
        <v>2742750.6713958653</v>
      </c>
      <c r="J25" s="12">
        <f t="shared" si="4"/>
        <v>742.17575924343146</v>
      </c>
      <c r="K25" s="1">
        <f t="shared" si="5"/>
        <v>-526754.36818472855</v>
      </c>
      <c r="L25" s="1">
        <f t="shared" si="7"/>
        <v>-526754.36818472855</v>
      </c>
      <c r="M25" s="14">
        <f t="shared" si="0"/>
        <v>3819.7456165236854</v>
      </c>
      <c r="N25" s="14">
        <f t="shared" si="0"/>
        <v>2742.7506713958651</v>
      </c>
      <c r="O25" s="14">
        <f t="shared" si="2"/>
        <v>1071.3113357181069</v>
      </c>
      <c r="P25" s="14">
        <f t="shared" si="1"/>
        <v>-526.75436818472849</v>
      </c>
      <c r="Q25" s="14">
        <f t="shared" si="6"/>
        <v>3855.8950633223412</v>
      </c>
      <c r="R25" s="7">
        <f t="shared" si="8"/>
        <v>0.990624888332021</v>
      </c>
    </row>
    <row r="26" spans="1:18">
      <c r="A26" s="3" t="s">
        <v>25</v>
      </c>
      <c r="B26" s="6">
        <f>Capability!B26</f>
        <v>1250</v>
      </c>
      <c r="F26" s="16"/>
      <c r="H26" s="1">
        <f t="shared" si="10"/>
        <v>3875104.2486472172</v>
      </c>
      <c r="I26" s="8">
        <f t="shared" si="3"/>
        <v>2644417.220605839</v>
      </c>
      <c r="J26" s="12">
        <f t="shared" si="4"/>
        <v>740.02102509953295</v>
      </c>
      <c r="K26" s="1">
        <f t="shared" si="5"/>
        <v>-534538.95216971822</v>
      </c>
      <c r="L26" s="1">
        <f t="shared" si="7"/>
        <v>-534538.95216971822</v>
      </c>
      <c r="M26" s="14">
        <f t="shared" si="0"/>
        <v>3875.104248647217</v>
      </c>
      <c r="N26" s="14">
        <f t="shared" si="0"/>
        <v>2644.4172206058392</v>
      </c>
      <c r="O26" s="14">
        <f t="shared" si="2"/>
        <v>1068.230065892332</v>
      </c>
      <c r="P26" s="14">
        <f t="shared" si="1"/>
        <v>-534.53895216971819</v>
      </c>
      <c r="Q26" s="14">
        <f t="shared" si="6"/>
        <v>3911.7981580432306</v>
      </c>
      <c r="R26" s="7">
        <f t="shared" si="8"/>
        <v>0.99061968232676689</v>
      </c>
    </row>
    <row r="27" spans="1:18">
      <c r="A27" s="27"/>
      <c r="F27" s="16"/>
      <c r="H27" s="1">
        <f t="shared" si="10"/>
        <v>3930462.8807707489</v>
      </c>
      <c r="I27" s="8">
        <f t="shared" si="3"/>
        <v>2539765.1458306103</v>
      </c>
      <c r="J27" s="12">
        <f t="shared" si="4"/>
        <v>737.72092084084591</v>
      </c>
      <c r="K27" s="1">
        <f t="shared" si="5"/>
        <v>-542436.18687559851</v>
      </c>
      <c r="L27" s="1">
        <f t="shared" si="7"/>
        <v>-542436.18687559851</v>
      </c>
      <c r="M27" s="14">
        <f t="shared" si="0"/>
        <v>3930.4628807707491</v>
      </c>
      <c r="N27" s="14">
        <f t="shared" si="0"/>
        <v>2539.7651458306104</v>
      </c>
      <c r="O27" s="14">
        <f t="shared" si="2"/>
        <v>1064.9409168024097</v>
      </c>
      <c r="P27" s="14">
        <f t="shared" si="1"/>
        <v>-542.43618687559854</v>
      </c>
      <c r="Q27" s="14">
        <f t="shared" si="6"/>
        <v>3967.7166574679741</v>
      </c>
      <c r="R27" s="7">
        <f t="shared" si="8"/>
        <v>0.99061077694973343</v>
      </c>
    </row>
    <row r="28" spans="1:18">
      <c r="A28" s="27" t="s">
        <v>73</v>
      </c>
      <c r="F28" s="16"/>
      <c r="H28" s="1">
        <f t="shared" si="10"/>
        <v>3985821.5128942807</v>
      </c>
      <c r="I28" s="8">
        <f t="shared" si="3"/>
        <v>2427750.7236055536</v>
      </c>
      <c r="J28" s="12">
        <f t="shared" si="4"/>
        <v>735.25103007468374</v>
      </c>
      <c r="K28" s="1">
        <f t="shared" si="5"/>
        <v>-550446.16853353567</v>
      </c>
      <c r="L28" s="1">
        <f t="shared" si="7"/>
        <v>-550446.16853353567</v>
      </c>
      <c r="M28" s="14">
        <f t="shared" si="0"/>
        <v>3985.8215128942807</v>
      </c>
      <c r="N28" s="14">
        <f t="shared" si="0"/>
        <v>2427.7507236055535</v>
      </c>
      <c r="O28" s="14">
        <f t="shared" si="2"/>
        <v>1061.4089730067976</v>
      </c>
      <c r="P28" s="14">
        <f t="shared" si="1"/>
        <v>-550.44616853353568</v>
      </c>
      <c r="Q28" s="14">
        <f t="shared" si="6"/>
        <v>4023.6505958027842</v>
      </c>
      <c r="R28" s="7">
        <f t="shared" si="8"/>
        <v>0.99059831811739207</v>
      </c>
    </row>
    <row r="29" spans="1:18">
      <c r="A29" s="3" t="s">
        <v>54</v>
      </c>
      <c r="B29" s="6">
        <f>Capability!B29</f>
        <v>2846</v>
      </c>
      <c r="C29" s="2">
        <f>IF(B29&gt;D23,D23,B29)</f>
        <v>2846</v>
      </c>
      <c r="F29" s="16"/>
      <c r="H29" s="1">
        <f t="shared" si="10"/>
        <v>4041180.1450178125</v>
      </c>
      <c r="I29" s="8">
        <f t="shared" si="3"/>
        <v>2306984.0862640878</v>
      </c>
      <c r="J29" s="12">
        <f t="shared" si="4"/>
        <v>732.5788265233939</v>
      </c>
      <c r="K29" s="1">
        <f t="shared" si="5"/>
        <v>-558568.99486058392</v>
      </c>
      <c r="L29" s="1">
        <f t="shared" si="7"/>
        <v>-558568.99486058392</v>
      </c>
      <c r="M29" s="14">
        <f t="shared" si="0"/>
        <v>4041.1801450178127</v>
      </c>
      <c r="N29" s="14">
        <f t="shared" si="0"/>
        <v>2306.9840862640876</v>
      </c>
      <c r="O29" s="14">
        <f t="shared" si="2"/>
        <v>1057.5877219284532</v>
      </c>
      <c r="P29" s="14">
        <f t="shared" si="1"/>
        <v>-558.56899486058387</v>
      </c>
      <c r="Q29" s="14">
        <f t="shared" si="6"/>
        <v>4079.6000155046759</v>
      </c>
      <c r="R29" s="7">
        <f t="shared" si="8"/>
        <v>0.99058244182252009</v>
      </c>
    </row>
    <row r="30" spans="1:18">
      <c r="A30" s="27"/>
      <c r="B30" s="1" t="s">
        <v>69</v>
      </c>
      <c r="C30" s="1">
        <f xml:space="preserve"> Nm/1000*(-SQRT(3/K_3^2*Ii^2*B3^2-($C$29*1000/Nm)^2)+B3^2*K_4/K_3)</f>
        <v>-2848.4297481986819</v>
      </c>
      <c r="F30" s="16"/>
      <c r="H30" s="1">
        <f t="shared" si="10"/>
        <v>4096538.7771413443</v>
      </c>
      <c r="I30" s="8">
        <f t="shared" si="3"/>
        <v>2175542.176429586</v>
      </c>
      <c r="J30" s="12">
        <f t="shared" si="4"/>
        <v>729.65928913951984</v>
      </c>
      <c r="K30" s="1">
        <f t="shared" si="5"/>
        <v>-566804.76506577618</v>
      </c>
      <c r="L30" s="1">
        <f t="shared" si="7"/>
        <v>-566804.76506577618</v>
      </c>
      <c r="M30" s="14">
        <f t="shared" si="0"/>
        <v>4096.5387771413443</v>
      </c>
      <c r="N30" s="14">
        <f t="shared" si="0"/>
        <v>2175.5421764295861</v>
      </c>
      <c r="O30" s="14">
        <f t="shared" si="2"/>
        <v>1053.4127834695134</v>
      </c>
      <c r="P30" s="14">
        <f t="shared" si="1"/>
        <v>-566.80476506577622</v>
      </c>
      <c r="Q30" s="14">
        <f t="shared" si="6"/>
        <v>4135.5649667637881</v>
      </c>
      <c r="R30" s="7">
        <f t="shared" si="8"/>
        <v>0.99056327492468754</v>
      </c>
    </row>
    <row r="31" spans="1:18">
      <c r="A31" s="27"/>
      <c r="B31" s="1" t="s">
        <v>68</v>
      </c>
      <c r="C31" s="1">
        <f>IF(ABS( Nm/1000*(SQRT(3/K_3^2*Ii^2*B3^2-($C$29*1000/Nm)^2)+B3^2*K_4/K_3))&lt;ABS(Nm/1000*(SQRT(Vi^2*B3^2/K_2^2-($C$29*1000/Nm)^2)-B3^2*K_1/K_2)),Nm/1000*(SQRT(3/K_3^2*Ii^2*B3^2-($C$29*1000/Nm)^2)+B3^2*K_4/K_3), Nm/1000*(SQRT(Vi^2*B3^2/K_2^2-($C$29*1000/Nm)^2)-B3^2*K_1/K_2))</f>
        <v>-402.44229801790419</v>
      </c>
      <c r="F31" s="16"/>
      <c r="H31" s="1">
        <f t="shared" si="10"/>
        <v>4151897.409264876</v>
      </c>
      <c r="I31" s="8">
        <f t="shared" si="3"/>
        <v>2030626.8844916178</v>
      </c>
      <c r="J31" s="12">
        <f t="shared" si="4"/>
        <v>726.42688676127398</v>
      </c>
      <c r="K31" s="1">
        <f t="shared" si="5"/>
        <v>-575153.57985637151</v>
      </c>
      <c r="L31" s="1">
        <f t="shared" si="7"/>
        <v>-575153.57985637151</v>
      </c>
      <c r="M31" s="14">
        <f t="shared" si="0"/>
        <v>4151.8974092648759</v>
      </c>
      <c r="N31" s="14">
        <f t="shared" si="0"/>
        <v>2030.6268844916178</v>
      </c>
      <c r="O31" s="14">
        <f t="shared" si="2"/>
        <v>1048.7904480686218</v>
      </c>
      <c r="P31" s="14">
        <f t="shared" si="1"/>
        <v>-575.15357985637149</v>
      </c>
      <c r="Q31" s="14">
        <f t="shared" si="6"/>
        <v>4191.5455070274484</v>
      </c>
      <c r="R31" s="7">
        <f t="shared" si="8"/>
        <v>0.9905409358681424</v>
      </c>
    </row>
    <row r="32" spans="1:18">
      <c r="A32" s="3" t="s">
        <v>55</v>
      </c>
      <c r="B32" s="6">
        <f>Capability!B32</f>
        <v>0</v>
      </c>
      <c r="C32" s="2">
        <f>IF(B32&lt;C30,C30,IF(B32&gt;C31,C31,B32))</f>
        <v>-402.44229801790419</v>
      </c>
      <c r="F32" s="16"/>
      <c r="H32" s="1">
        <f t="shared" si="10"/>
        <v>4207256.0413884073</v>
      </c>
      <c r="I32" s="8">
        <f t="shared" si="3"/>
        <v>1867874.9264724297</v>
      </c>
      <c r="J32" s="12">
        <f t="shared" si="4"/>
        <v>722.77939521127803</v>
      </c>
      <c r="K32" s="1">
        <f t="shared" si="5"/>
        <v>-583615.54144417495</v>
      </c>
      <c r="L32" s="1">
        <f t="shared" si="7"/>
        <v>-583615.54144417495</v>
      </c>
      <c r="M32" s="14">
        <f t="shared" si="0"/>
        <v>4207.2560413884075</v>
      </c>
      <c r="N32" s="14">
        <f t="shared" si="0"/>
        <v>1867.8749264724297</v>
      </c>
      <c r="O32" s="14">
        <f t="shared" si="2"/>
        <v>1043.5745351521275</v>
      </c>
      <c r="P32" s="14">
        <f t="shared" si="1"/>
        <v>-583.61554144417494</v>
      </c>
      <c r="Q32" s="14">
        <f t="shared" si="6"/>
        <v>4247.5417005621539</v>
      </c>
      <c r="R32" s="7">
        <f t="shared" si="8"/>
        <v>0.99051553533461145</v>
      </c>
    </row>
    <row r="33" spans="1:18">
      <c r="A33" s="21" t="s">
        <v>56</v>
      </c>
      <c r="B33" s="1">
        <f>C29/SQRT(C29^2+C32^2)</f>
        <v>0.99014961136184398</v>
      </c>
      <c r="C33" s="1" t="s">
        <v>60</v>
      </c>
      <c r="D33" s="1">
        <f>SQRT(C29^2+C32^2)/(SQRT(3)*B3)*1000</f>
        <v>2433.2631124094878</v>
      </c>
      <c r="F33" s="16"/>
      <c r="H33" s="1">
        <f t="shared" si="10"/>
        <v>4262614.6735119391</v>
      </c>
      <c r="I33" s="8">
        <f t="shared" si="3"/>
        <v>1679752.129793887</v>
      </c>
      <c r="J33" s="12">
        <f t="shared" si="4"/>
        <v>718.5402391620222</v>
      </c>
      <c r="K33" s="1">
        <f t="shared" si="5"/>
        <v>-592190.75355200283</v>
      </c>
      <c r="L33" s="1">
        <f t="shared" si="7"/>
        <v>-592190.75355200283</v>
      </c>
      <c r="M33" s="14">
        <f t="shared" si="0"/>
        <v>4262.6146735119391</v>
      </c>
      <c r="N33" s="14">
        <f t="shared" si="0"/>
        <v>1679.752129793887</v>
      </c>
      <c r="O33" s="14">
        <f t="shared" si="2"/>
        <v>1037.5125420016916</v>
      </c>
      <c r="P33" s="14">
        <f t="shared" si="1"/>
        <v>-592.19075355200289</v>
      </c>
      <c r="Q33" s="14">
        <f t="shared" si="6"/>
        <v>4303.5536180500631</v>
      </c>
      <c r="R33" s="7">
        <f t="shared" si="8"/>
        <v>0.99048717683766807</v>
      </c>
    </row>
    <row r="34" spans="1:18" ht="18.75">
      <c r="A34" s="23" t="s">
        <v>57</v>
      </c>
      <c r="B34" s="25">
        <f>Vdc_offset+Vac_to_Vdc*SQRT(3)*SQRT(K_1^2*B3^2/3+K_2^2/3*($C$29^2+$C$32^2)*1000^2/B3^2/Nm^2+2/3*K_1*K_2*$C$32*1000/Nm)</f>
        <v>961.49999999999989</v>
      </c>
      <c r="F34" s="16"/>
      <c r="H34" s="1">
        <f t="shared" si="10"/>
        <v>4317973.3056354709</v>
      </c>
      <c r="I34" s="8">
        <f t="shared" si="3"/>
        <v>1450878.1898494321</v>
      </c>
      <c r="J34" s="12">
        <f t="shared" si="4"/>
        <v>713.34883008297879</v>
      </c>
      <c r="K34" s="1">
        <f t="shared" si="5"/>
        <v>-600879.32142021507</v>
      </c>
      <c r="L34" s="1">
        <f t="shared" si="7"/>
        <v>-600879.32142021507</v>
      </c>
      <c r="M34" s="14">
        <f t="shared" si="0"/>
        <v>4317.9733056354708</v>
      </c>
      <c r="N34" s="14">
        <f t="shared" si="0"/>
        <v>1450.8781898494321</v>
      </c>
      <c r="O34" s="14">
        <f t="shared" si="2"/>
        <v>1030.0888270186597</v>
      </c>
      <c r="P34" s="14">
        <f t="shared" si="1"/>
        <v>-600.87932142021509</v>
      </c>
      <c r="Q34" s="14">
        <f t="shared" si="6"/>
        <v>4359.5813362169229</v>
      </c>
      <c r="R34" s="7">
        <f t="shared" si="8"/>
        <v>0.99045595726456659</v>
      </c>
    </row>
    <row r="35" spans="1:18">
      <c r="A35" s="21" t="s">
        <v>58</v>
      </c>
      <c r="B35" s="1">
        <f>SQRT(3)*SQRT(K_1^2*B3^2/3+K_2^2/3*($C$29^2+$C$32^2)*1000^2/B3^2/Nm^2+2/3*K_1*K_2*$C$32*1000/Nm)</f>
        <v>665.38461538461524</v>
      </c>
      <c r="F35" s="16"/>
      <c r="H35" s="1">
        <f t="shared" si="10"/>
        <v>4373331.9377590027</v>
      </c>
      <c r="I35" s="8">
        <f t="shared" si="3"/>
        <v>1136944.4756956259</v>
      </c>
      <c r="J35" s="12">
        <f t="shared" si="4"/>
        <v>706.16598817273689</v>
      </c>
      <c r="K35" s="1">
        <f t="shared" si="5"/>
        <v>-609681.35181336477</v>
      </c>
      <c r="L35" s="1">
        <f t="shared" si="7"/>
        <v>-609681.35181336477</v>
      </c>
      <c r="M35" s="14">
        <f t="shared" si="0"/>
        <v>4373.3319377590024</v>
      </c>
      <c r="N35" s="14">
        <f t="shared" si="0"/>
        <v>1136.9444756956259</v>
      </c>
      <c r="O35" s="14">
        <f t="shared" si="2"/>
        <v>1019.8173630870137</v>
      </c>
      <c r="P35" s="14">
        <f t="shared" si="1"/>
        <v>-609.68135181336481</v>
      </c>
      <c r="Q35" s="14">
        <f t="shared" si="6"/>
        <v>4415.6249374886766</v>
      </c>
      <c r="R35" s="7">
        <f t="shared" si="8"/>
        <v>0.9904219673707777</v>
      </c>
    </row>
    <row r="36" spans="1:18">
      <c r="F36" s="16"/>
      <c r="H36" s="1">
        <f t="shared" si="10"/>
        <v>4428690.5698825344</v>
      </c>
      <c r="I36" s="8">
        <f t="shared" si="3"/>
        <v>527605.02677527699</v>
      </c>
      <c r="J36" s="12">
        <f t="shared" ref="J36:J67" si="11">SQRT(3)*SQRT(($B$3/SQRT(3)*K_1+SQRT(H36^2+I36^2)/SQRT(3)/$B$3/Nm*I36/SQRT(H36^2+I36^2)*K_2)^2+(SQRT(H36^2+I36^2)/SQRT(3)/$B$3/Nm*H36/SQRT(H36^2+I36^2)*K_2)^2)</f>
        <v>692.0586909832798</v>
      </c>
      <c r="K36" s="1">
        <f t="shared" si="5"/>
        <v>-600879.32142021507</v>
      </c>
      <c r="L36" s="1">
        <f t="shared" si="7"/>
        <v>527605.02677527699</v>
      </c>
      <c r="M36" s="14">
        <f t="shared" si="0"/>
        <v>4428.6905698825349</v>
      </c>
      <c r="N36" s="14">
        <f t="shared" si="0"/>
        <v>527.605026775277</v>
      </c>
      <c r="O36" s="14">
        <f t="shared" si="2"/>
        <v>999.64392810609013</v>
      </c>
      <c r="P36" s="14">
        <f t="shared" si="1"/>
        <v>527.605026775277</v>
      </c>
      <c r="Q36" s="14">
        <f t="shared" si="6"/>
        <v>4460.007536769981</v>
      </c>
      <c r="R36" s="7">
        <f t="shared" si="8"/>
        <v>0.99297827041114683</v>
      </c>
    </row>
    <row r="37" spans="1:18">
      <c r="F37" s="16"/>
      <c r="H37" s="1">
        <f t="shared" ref="H37:H52" si="12">-$B$22/80+H36</f>
        <v>4373331.9377590027</v>
      </c>
      <c r="I37" s="8">
        <f t="shared" ref="I37:I68" si="13">Nm*(-SQRT(IF(3/K_3^2*Ii^2*$B$3^2-(H37/Nm)^2&lt;0.0000000001,0,3/K_3^2*Ii^2*$B$3^2-(H37/Nm)^2))+$B$3^2/K_3*K_4)</f>
        <v>-81734.422145071876</v>
      </c>
      <c r="J37" s="12">
        <f t="shared" si="11"/>
        <v>677.56131022544389</v>
      </c>
      <c r="K37" s="1">
        <f t="shared" ref="K37:K68" si="14">Nm*(-SQRT(Vi^2*$B$3^2/K_2^2-(H37/Nm)^2)-$B$3^2*K_1/K_2)</f>
        <v>-55968263.880960926</v>
      </c>
      <c r="L37" s="1">
        <f t="shared" si="7"/>
        <v>-81734.422145071876</v>
      </c>
      <c r="M37" s="14">
        <f t="shared" si="0"/>
        <v>4373.3319377590024</v>
      </c>
      <c r="N37" s="14">
        <f t="shared" si="0"/>
        <v>-81.734422145071875</v>
      </c>
      <c r="O37" s="14">
        <f t="shared" si="2"/>
        <v>978.91267362238477</v>
      </c>
      <c r="P37" s="14">
        <f t="shared" si="1"/>
        <v>-81.734422145071875</v>
      </c>
      <c r="Q37" s="14">
        <f t="shared" si="6"/>
        <v>4374.0956497985153</v>
      </c>
      <c r="R37" s="7">
        <f t="shared" si="8"/>
        <v>0.99982540115702589</v>
      </c>
    </row>
    <row r="38" spans="1:18">
      <c r="F38" s="16"/>
      <c r="H38" s="1">
        <f t="shared" si="12"/>
        <v>4317973.3056354709</v>
      </c>
      <c r="I38" s="8">
        <f t="shared" si="13"/>
        <v>-395668.13629887812</v>
      </c>
      <c r="J38" s="12">
        <f t="shared" si="11"/>
        <v>669.99490937293217</v>
      </c>
      <c r="K38" s="1">
        <f t="shared" si="14"/>
        <v>-55976952.448829144</v>
      </c>
      <c r="L38" s="1">
        <f t="shared" si="7"/>
        <v>-395668.13629887812</v>
      </c>
      <c r="M38" s="14">
        <f t="shared" si="0"/>
        <v>4317.9733056354708</v>
      </c>
      <c r="N38" s="14">
        <f t="shared" si="0"/>
        <v>-395.6681362988781</v>
      </c>
      <c r="O38" s="14">
        <f t="shared" si="2"/>
        <v>968.09272040329301</v>
      </c>
      <c r="P38" s="14">
        <f t="shared" si="1"/>
        <v>-395.6681362988781</v>
      </c>
      <c r="Q38" s="14">
        <f t="shared" si="6"/>
        <v>4336.0635076371682</v>
      </c>
      <c r="R38" s="7">
        <f t="shared" si="8"/>
        <v>0.99582796654849848</v>
      </c>
    </row>
    <row r="39" spans="1:18">
      <c r="F39" s="16"/>
      <c r="H39" s="1">
        <f t="shared" si="12"/>
        <v>4262614.6735119391</v>
      </c>
      <c r="I39" s="8">
        <f t="shared" si="13"/>
        <v>-624542.07624333305</v>
      </c>
      <c r="J39" s="12">
        <f t="shared" si="11"/>
        <v>664.42430469646592</v>
      </c>
      <c r="K39" s="1">
        <f t="shared" si="14"/>
        <v>-55985527.660936967</v>
      </c>
      <c r="L39" s="1">
        <f t="shared" si="7"/>
        <v>-624542.07624333305</v>
      </c>
      <c r="M39" s="14">
        <f t="shared" si="0"/>
        <v>4262.6146735119391</v>
      </c>
      <c r="N39" s="14">
        <f t="shared" si="0"/>
        <v>-624.5420762433331</v>
      </c>
      <c r="O39" s="14">
        <f t="shared" si="2"/>
        <v>960.12675571594627</v>
      </c>
      <c r="P39" s="14">
        <f t="shared" si="1"/>
        <v>-624.5420762433331</v>
      </c>
      <c r="Q39" s="14">
        <f t="shared" si="6"/>
        <v>4308.1244944682867</v>
      </c>
      <c r="R39" s="7">
        <f t="shared" si="8"/>
        <v>0.98943627998337025</v>
      </c>
    </row>
    <row r="40" spans="1:18">
      <c r="F40" s="16"/>
      <c r="H40" s="1">
        <f t="shared" si="12"/>
        <v>4207256.0413884073</v>
      </c>
      <c r="I40" s="8">
        <f t="shared" si="13"/>
        <v>-812664.87292187545</v>
      </c>
      <c r="J40" s="12">
        <f t="shared" si="11"/>
        <v>659.81033473598859</v>
      </c>
      <c r="K40" s="1">
        <f t="shared" si="14"/>
        <v>-55993989.622524776</v>
      </c>
      <c r="L40" s="1">
        <f t="shared" si="7"/>
        <v>-812664.87292187545</v>
      </c>
      <c r="M40" s="14">
        <f t="shared" si="0"/>
        <v>4207.2560413884075</v>
      </c>
      <c r="N40" s="14">
        <f t="shared" si="0"/>
        <v>-812.66487292187549</v>
      </c>
      <c r="O40" s="14">
        <f t="shared" si="2"/>
        <v>953.52877867246366</v>
      </c>
      <c r="P40" s="14">
        <f t="shared" si="1"/>
        <v>-812.66487292187549</v>
      </c>
      <c r="Q40" s="14">
        <f t="shared" si="6"/>
        <v>4285.0236397808103</v>
      </c>
      <c r="R40" s="7">
        <f t="shared" si="8"/>
        <v>0.98185130236612161</v>
      </c>
    </row>
    <row r="41" spans="1:18">
      <c r="F41" s="16"/>
      <c r="H41" s="1">
        <f t="shared" si="12"/>
        <v>4151897.4092648756</v>
      </c>
      <c r="I41" s="8">
        <f t="shared" si="13"/>
        <v>-975416.83094106615</v>
      </c>
      <c r="J41" s="12">
        <f t="shared" si="11"/>
        <v>655.79242917002421</v>
      </c>
      <c r="K41" s="1">
        <f t="shared" si="14"/>
        <v>-56002338.43731536</v>
      </c>
      <c r="L41" s="1">
        <f t="shared" si="7"/>
        <v>-975416.83094106615</v>
      </c>
      <c r="M41" s="14">
        <f t="shared" si="0"/>
        <v>4151.8974092648759</v>
      </c>
      <c r="N41" s="14">
        <f t="shared" si="0"/>
        <v>-975.41683094106611</v>
      </c>
      <c r="O41" s="14">
        <f t="shared" si="2"/>
        <v>947.7831737131346</v>
      </c>
      <c r="P41" s="14">
        <f t="shared" si="1"/>
        <v>-975.41683094106611</v>
      </c>
      <c r="Q41" s="14">
        <f t="shared" si="6"/>
        <v>4264.9372904116071</v>
      </c>
      <c r="R41" s="7">
        <f t="shared" si="8"/>
        <v>0.97349553499863495</v>
      </c>
    </row>
    <row r="42" spans="1:18">
      <c r="F42" s="16"/>
      <c r="H42" s="1">
        <f t="shared" si="12"/>
        <v>4096538.7771413438</v>
      </c>
      <c r="I42" s="8">
        <f t="shared" si="13"/>
        <v>-1120332.1228790337</v>
      </c>
      <c r="J42" s="12">
        <f t="shared" si="11"/>
        <v>652.19403074453908</v>
      </c>
      <c r="K42" s="1">
        <f t="shared" si="14"/>
        <v>-56010574.207520552</v>
      </c>
      <c r="L42" s="1">
        <f t="shared" si="7"/>
        <v>-1120332.1228790337</v>
      </c>
      <c r="M42" s="14">
        <f t="shared" si="0"/>
        <v>4096.5387771413434</v>
      </c>
      <c r="N42" s="14">
        <f t="shared" si="0"/>
        <v>-1120.3321228790337</v>
      </c>
      <c r="O42" s="14">
        <f t="shared" si="2"/>
        <v>942.63746396469082</v>
      </c>
      <c r="P42" s="14">
        <f t="shared" si="1"/>
        <v>-1120.3321228790337</v>
      </c>
      <c r="Q42" s="14">
        <f t="shared" si="6"/>
        <v>4246.972335461739</v>
      </c>
      <c r="R42" s="7">
        <f t="shared" si="8"/>
        <v>0.96457863474544148</v>
      </c>
    </row>
    <row r="43" spans="1:18">
      <c r="F43" s="16"/>
      <c r="H43" s="1">
        <f t="shared" si="12"/>
        <v>4041180.145017812</v>
      </c>
      <c r="I43" s="8">
        <f t="shared" si="13"/>
        <v>-1251774.0327135338</v>
      </c>
      <c r="J43" s="12">
        <f t="shared" si="11"/>
        <v>648.91293321678017</v>
      </c>
      <c r="K43" s="1">
        <f t="shared" si="14"/>
        <v>-56018697.0338476</v>
      </c>
      <c r="L43" s="1">
        <f t="shared" si="7"/>
        <v>-1251774.0327135338</v>
      </c>
      <c r="M43" s="14">
        <f t="shared" si="0"/>
        <v>4041.1801450178118</v>
      </c>
      <c r="N43" s="14">
        <f t="shared" si="0"/>
        <v>-1251.7740327135339</v>
      </c>
      <c r="O43" s="14">
        <f t="shared" si="2"/>
        <v>937.94549449999556</v>
      </c>
      <c r="P43" s="14">
        <f t="shared" si="1"/>
        <v>-1251.7740327135339</v>
      </c>
      <c r="Q43" s="14">
        <f t="shared" si="6"/>
        <v>4230.6116807693525</v>
      </c>
      <c r="R43" s="7">
        <f t="shared" si="8"/>
        <v>0.95522360593560984</v>
      </c>
    </row>
    <row r="44" spans="1:18">
      <c r="F44" s="16"/>
      <c r="H44" s="1">
        <f t="shared" si="12"/>
        <v>3985821.5128942803</v>
      </c>
      <c r="I44" s="8">
        <f t="shared" si="13"/>
        <v>-1372540.6700550013</v>
      </c>
      <c r="J44" s="12">
        <f t="shared" si="11"/>
        <v>645.88362321746081</v>
      </c>
      <c r="K44" s="1">
        <f t="shared" si="14"/>
        <v>-56026707.015505537</v>
      </c>
      <c r="L44" s="1">
        <f t="shared" si="7"/>
        <v>-1372540.6700550013</v>
      </c>
      <c r="M44" s="14">
        <f t="shared" si="0"/>
        <v>3985.8215128942802</v>
      </c>
      <c r="N44" s="14">
        <f t="shared" si="0"/>
        <v>-1372.5406700550013</v>
      </c>
      <c r="O44" s="14">
        <f t="shared" si="2"/>
        <v>933.61358120096895</v>
      </c>
      <c r="P44" s="14">
        <f t="shared" si="1"/>
        <v>-1372.5406700550013</v>
      </c>
      <c r="Q44" s="14">
        <f t="shared" si="6"/>
        <v>4215.5238136684602</v>
      </c>
      <c r="R44" s="7">
        <f t="shared" si="8"/>
        <v>0.94551037761205603</v>
      </c>
    </row>
    <row r="45" spans="1:18">
      <c r="F45" s="16"/>
      <c r="H45" s="1">
        <f t="shared" si="12"/>
        <v>3930462.8807707485</v>
      </c>
      <c r="I45" s="8">
        <f t="shared" si="13"/>
        <v>-1484555.0922800577</v>
      </c>
      <c r="J45" s="12">
        <f t="shared" si="11"/>
        <v>643.06109734622623</v>
      </c>
      <c r="K45" s="1">
        <f t="shared" si="14"/>
        <v>-56034604.250211418</v>
      </c>
      <c r="L45" s="1">
        <f t="shared" ref="L45:L56" si="15">IF(ABS(I45)&lt;ABS(K45),I45,K45)</f>
        <v>-1484555.0922800577</v>
      </c>
      <c r="M45" s="14">
        <f t="shared" ref="M45:M56" si="16">H45/1000</f>
        <v>3930.4628807707486</v>
      </c>
      <c r="N45" s="14">
        <f t="shared" ref="N45:N56" si="17">I45/1000</f>
        <v>-1484.5550922800578</v>
      </c>
      <c r="O45" s="14">
        <f t="shared" ref="O45:O56" si="18">J45*1.43+10</f>
        <v>929.57736920510342</v>
      </c>
      <c r="P45" s="14">
        <f t="shared" ref="P45:P56" si="19">L45/1000</f>
        <v>-1484.5550922800578</v>
      </c>
      <c r="Q45" s="14">
        <f t="shared" ref="Q45:Q56" si="20">SQRT(M45^2+P45^2)</f>
        <v>4201.4809626048936</v>
      </c>
      <c r="R45" s="7">
        <f t="shared" ref="R45:R56" si="21">M45/SQRT(M45^2+P45^2)</f>
        <v>0.93549463052520521</v>
      </c>
    </row>
    <row r="46" spans="1:18">
      <c r="F46" s="16"/>
      <c r="H46" s="1">
        <f t="shared" si="12"/>
        <v>3875104.2486472167</v>
      </c>
      <c r="I46" s="8">
        <f t="shared" si="13"/>
        <v>-1589207.1670552853</v>
      </c>
      <c r="J46" s="12">
        <f t="shared" si="11"/>
        <v>640.41284682385515</v>
      </c>
      <c r="K46" s="1">
        <f t="shared" si="14"/>
        <v>-56042388.834196419</v>
      </c>
      <c r="L46" s="1">
        <f t="shared" si="15"/>
        <v>-1589207.1670552853</v>
      </c>
      <c r="M46" s="14">
        <f t="shared" si="16"/>
        <v>3875.1042486472165</v>
      </c>
      <c r="N46" s="14">
        <f t="shared" si="17"/>
        <v>-1589.2071670552853</v>
      </c>
      <c r="O46" s="14">
        <f t="shared" si="18"/>
        <v>925.79037095811282</v>
      </c>
      <c r="P46" s="14">
        <f t="shared" si="19"/>
        <v>-1589.2071670552853</v>
      </c>
      <c r="Q46" s="14">
        <f t="shared" si="20"/>
        <v>4188.318559721024</v>
      </c>
      <c r="R46" s="7">
        <f t="shared" si="21"/>
        <v>0.92521717089860755</v>
      </c>
    </row>
    <row r="47" spans="1:18">
      <c r="F47" s="16"/>
      <c r="H47" s="1">
        <f t="shared" si="12"/>
        <v>3819745.6165236849</v>
      </c>
      <c r="I47" s="8">
        <f t="shared" si="13"/>
        <v>-1687540.6178453122</v>
      </c>
      <c r="J47" s="12">
        <f t="shared" si="11"/>
        <v>637.91447260415282</v>
      </c>
      <c r="K47" s="1">
        <f t="shared" si="14"/>
        <v>-56050060.862211853</v>
      </c>
      <c r="L47" s="1">
        <f t="shared" si="15"/>
        <v>-1687540.6178453122</v>
      </c>
      <c r="M47" s="14">
        <f t="shared" si="16"/>
        <v>3819.7456165236849</v>
      </c>
      <c r="N47" s="14">
        <f t="shared" si="17"/>
        <v>-1687.5406178453122</v>
      </c>
      <c r="O47" s="14">
        <f t="shared" si="18"/>
        <v>922.21769582393847</v>
      </c>
      <c r="P47" s="14">
        <f t="shared" si="19"/>
        <v>-1687.5406178453122</v>
      </c>
      <c r="Q47" s="14">
        <f t="shared" si="20"/>
        <v>4175.913063250915</v>
      </c>
      <c r="R47" s="7">
        <f t="shared" si="21"/>
        <v>0.91470908485581437</v>
      </c>
    </row>
    <row r="48" spans="1:18">
      <c r="F48" s="16"/>
      <c r="H48" s="1">
        <f t="shared" si="12"/>
        <v>3764386.9844001532</v>
      </c>
      <c r="I48" s="8">
        <f t="shared" si="13"/>
        <v>-1780363.2211675302</v>
      </c>
      <c r="J48" s="12">
        <f t="shared" si="11"/>
        <v>635.54710238734697</v>
      </c>
      <c r="K48" s="1">
        <f t="shared" si="14"/>
        <v>-56057620.427535117</v>
      </c>
      <c r="L48" s="1">
        <f t="shared" si="15"/>
        <v>-1780363.2211675302</v>
      </c>
      <c r="M48" s="14">
        <f t="shared" si="16"/>
        <v>3764.3869844001533</v>
      </c>
      <c r="N48" s="14">
        <f t="shared" si="17"/>
        <v>-1780.3632211675301</v>
      </c>
      <c r="O48" s="14">
        <f t="shared" si="18"/>
        <v>918.83235641390615</v>
      </c>
      <c r="P48" s="14">
        <f t="shared" si="19"/>
        <v>-1780.3632211675301</v>
      </c>
      <c r="Q48" s="14">
        <f t="shared" si="20"/>
        <v>4164.1688927812838</v>
      </c>
      <c r="R48" s="7">
        <f t="shared" si="21"/>
        <v>0.90399479015508599</v>
      </c>
    </row>
    <row r="49" spans="6:18">
      <c r="F49" s="16"/>
      <c r="H49" s="1">
        <f t="shared" si="12"/>
        <v>3709028.3522766214</v>
      </c>
      <c r="I49" s="8">
        <f t="shared" si="13"/>
        <v>-1868315.5653649629</v>
      </c>
      <c r="J49" s="12">
        <f t="shared" si="11"/>
        <v>633.29577916081166</v>
      </c>
      <c r="K49" s="1">
        <f t="shared" si="14"/>
        <v>-56065067.621975519</v>
      </c>
      <c r="L49" s="1">
        <f t="shared" si="15"/>
        <v>-1868315.5653649629</v>
      </c>
      <c r="M49" s="14">
        <f t="shared" si="16"/>
        <v>3709.0283522766213</v>
      </c>
      <c r="N49" s="14">
        <f t="shared" si="17"/>
        <v>-1868.3155653649628</v>
      </c>
      <c r="O49" s="14">
        <f t="shared" si="18"/>
        <v>915.61296419996063</v>
      </c>
      <c r="P49" s="14">
        <f t="shared" si="19"/>
        <v>-1868.3155653649628</v>
      </c>
      <c r="Q49" s="14">
        <f t="shared" si="20"/>
        <v>4153.0102780726211</v>
      </c>
      <c r="R49" s="7">
        <f t="shared" si="21"/>
        <v>0.89309394967304334</v>
      </c>
    </row>
    <row r="50" spans="6:18">
      <c r="F50" s="16"/>
      <c r="H50" s="1">
        <f t="shared" si="12"/>
        <v>3653669.7201530896</v>
      </c>
      <c r="I50" s="8">
        <f t="shared" si="13"/>
        <v>-1951915.9708913926</v>
      </c>
      <c r="J50" s="12">
        <f t="shared" si="11"/>
        <v>631.14840857520176</v>
      </c>
      <c r="K50" s="1">
        <f t="shared" si="14"/>
        <v>-56072402.53587988</v>
      </c>
      <c r="L50" s="1">
        <f t="shared" si="15"/>
        <v>-1951915.9708913926</v>
      </c>
      <c r="M50" s="14">
        <f t="shared" si="16"/>
        <v>3653.6697201530897</v>
      </c>
      <c r="N50" s="14">
        <f t="shared" si="17"/>
        <v>-1951.9159708913926</v>
      </c>
      <c r="O50" s="14">
        <f t="shared" si="18"/>
        <v>912.54222426253853</v>
      </c>
      <c r="P50" s="14">
        <f t="shared" si="19"/>
        <v>-1951.9159708913926</v>
      </c>
      <c r="Q50" s="14">
        <f t="shared" si="20"/>
        <v>4142.3759343382198</v>
      </c>
      <c r="R50" s="7">
        <f t="shared" si="21"/>
        <v>0.88202272755256217</v>
      </c>
    </row>
    <row r="51" spans="6:18">
      <c r="F51" s="16"/>
      <c r="H51" s="1">
        <f t="shared" si="12"/>
        <v>3598311.0880295578</v>
      </c>
      <c r="I51" s="8">
        <f t="shared" si="13"/>
        <v>-2031590.9632960209</v>
      </c>
      <c r="J51" s="12">
        <f t="shared" si="11"/>
        <v>629.09504496644411</v>
      </c>
      <c r="K51" s="1">
        <f t="shared" si="14"/>
        <v>-56079625.258138306</v>
      </c>
      <c r="L51" s="1">
        <f t="shared" si="15"/>
        <v>-2031590.9632960209</v>
      </c>
      <c r="M51" s="14">
        <f t="shared" si="16"/>
        <v>3598.3110880295581</v>
      </c>
      <c r="N51" s="14">
        <f t="shared" si="17"/>
        <v>-2031.5909632960208</v>
      </c>
      <c r="O51" s="14">
        <f t="shared" si="18"/>
        <v>909.60591430201498</v>
      </c>
      <c r="P51" s="14">
        <f t="shared" si="19"/>
        <v>-2031.5909632960208</v>
      </c>
      <c r="Q51" s="14">
        <f t="shared" si="20"/>
        <v>4132.2154503828233</v>
      </c>
      <c r="R51" s="7">
        <f t="shared" si="21"/>
        <v>0.87079464544768537</v>
      </c>
    </row>
    <row r="52" spans="6:18">
      <c r="F52" s="16"/>
      <c r="H52" s="1">
        <f t="shared" si="12"/>
        <v>3542952.4559060261</v>
      </c>
      <c r="I52" s="8">
        <f t="shared" si="13"/>
        <v>-2107696.6062494754</v>
      </c>
      <c r="J52" s="12">
        <f t="shared" si="11"/>
        <v>627.12739159619457</v>
      </c>
      <c r="K52" s="1">
        <f t="shared" si="14"/>
        <v>-56086735.876189545</v>
      </c>
      <c r="L52" s="1">
        <f t="shared" si="15"/>
        <v>-2107696.6062494754</v>
      </c>
      <c r="M52" s="14">
        <f t="shared" si="16"/>
        <v>3542.952455906026</v>
      </c>
      <c r="N52" s="14">
        <f t="shared" si="17"/>
        <v>-2107.6966062494753</v>
      </c>
      <c r="O52" s="14">
        <f t="shared" si="18"/>
        <v>906.79216998255822</v>
      </c>
      <c r="P52" s="14">
        <f t="shared" si="19"/>
        <v>-2107.6966062494753</v>
      </c>
      <c r="Q52" s="14">
        <f t="shared" si="20"/>
        <v>4122.4867602948216</v>
      </c>
      <c r="R52" s="7">
        <f t="shared" si="21"/>
        <v>0.85942118481240437</v>
      </c>
    </row>
    <row r="53" spans="6:18">
      <c r="F53" s="16"/>
      <c r="H53" s="1">
        <f t="shared" ref="H53:H68" si="22">-$B$22/20+H52</f>
        <v>3321517.9274118994</v>
      </c>
      <c r="I53" s="8">
        <f t="shared" si="13"/>
        <v>-2381835.7201234857</v>
      </c>
      <c r="J53" s="12">
        <f t="shared" si="11"/>
        <v>619.98797615893909</v>
      </c>
      <c r="K53" s="1">
        <f t="shared" si="14"/>
        <v>-56114059.004603535</v>
      </c>
      <c r="L53" s="1">
        <f t="shared" si="15"/>
        <v>-2381835.7201234857</v>
      </c>
      <c r="M53" s="14">
        <f t="shared" si="16"/>
        <v>3321.5179274118996</v>
      </c>
      <c r="N53" s="14">
        <f t="shared" si="17"/>
        <v>-2381.8357201234858</v>
      </c>
      <c r="O53" s="14">
        <f t="shared" si="18"/>
        <v>896.58280590728282</v>
      </c>
      <c r="P53" s="14">
        <f t="shared" si="19"/>
        <v>-2381.8357201234858</v>
      </c>
      <c r="Q53" s="14">
        <f t="shared" si="20"/>
        <v>4087.2512450025388</v>
      </c>
      <c r="R53" s="7">
        <f t="shared" si="21"/>
        <v>0.81265323032761994</v>
      </c>
    </row>
    <row r="54" spans="6:18">
      <c r="F54" s="16"/>
      <c r="H54" s="1">
        <f t="shared" si="22"/>
        <v>3100083.3989177728</v>
      </c>
      <c r="I54" s="8">
        <f t="shared" si="13"/>
        <v>-2616724.7462586993</v>
      </c>
      <c r="J54" s="12">
        <f t="shared" si="11"/>
        <v>613.80469747986376</v>
      </c>
      <c r="K54" s="1">
        <f t="shared" si="14"/>
        <v>-56139595.087064609</v>
      </c>
      <c r="L54" s="1">
        <f t="shared" si="15"/>
        <v>-2616724.7462586993</v>
      </c>
      <c r="M54" s="14">
        <f t="shared" si="16"/>
        <v>3100.0833989177727</v>
      </c>
      <c r="N54" s="14">
        <f t="shared" si="17"/>
        <v>-2616.7247462586993</v>
      </c>
      <c r="O54" s="14">
        <f t="shared" si="18"/>
        <v>887.74071739620513</v>
      </c>
      <c r="P54" s="14">
        <f t="shared" si="19"/>
        <v>-2616.7247462586993</v>
      </c>
      <c r="Q54" s="14">
        <f t="shared" si="20"/>
        <v>4056.8171610177633</v>
      </c>
      <c r="R54" s="7">
        <f t="shared" si="21"/>
        <v>0.76416640826377102</v>
      </c>
    </row>
    <row r="55" spans="6:18">
      <c r="F55" s="16"/>
      <c r="H55" s="1">
        <f t="shared" si="22"/>
        <v>2878648.8704236462</v>
      </c>
      <c r="I55" s="8">
        <f t="shared" si="13"/>
        <v>-2820634.4333951175</v>
      </c>
      <c r="J55" s="12">
        <f t="shared" si="11"/>
        <v>608.38597168601382</v>
      </c>
      <c r="K55" s="1">
        <f t="shared" si="14"/>
        <v>-56163349.034206688</v>
      </c>
      <c r="L55" s="1">
        <f t="shared" si="15"/>
        <v>-2820634.4333951175</v>
      </c>
      <c r="M55" s="14">
        <f t="shared" si="16"/>
        <v>2878.6488704236463</v>
      </c>
      <c r="N55" s="14">
        <f t="shared" si="17"/>
        <v>-2820.6344333951174</v>
      </c>
      <c r="O55" s="14">
        <f t="shared" si="18"/>
        <v>879.99193951099971</v>
      </c>
      <c r="P55" s="14">
        <f t="shared" si="19"/>
        <v>-2820.6344333951174</v>
      </c>
      <c r="Q55" s="14">
        <f t="shared" si="20"/>
        <v>4030.2106552940295</v>
      </c>
      <c r="R55" s="7">
        <f t="shared" si="21"/>
        <v>0.71426759458399336</v>
      </c>
    </row>
    <row r="56" spans="6:18">
      <c r="F56" s="16"/>
      <c r="H56" s="1">
        <f t="shared" si="22"/>
        <v>2657214.3419295195</v>
      </c>
      <c r="I56" s="8">
        <f t="shared" si="13"/>
        <v>-2998942.6820863998</v>
      </c>
      <c r="J56" s="12">
        <f t="shared" si="11"/>
        <v>603.60771631473494</v>
      </c>
      <c r="K56" s="1">
        <f t="shared" si="14"/>
        <v>-56185325.397815555</v>
      </c>
      <c r="L56" s="1">
        <f t="shared" si="15"/>
        <v>-2998942.6820863998</v>
      </c>
      <c r="M56" s="14">
        <f t="shared" si="16"/>
        <v>2657.2143419295194</v>
      </c>
      <c r="N56" s="14">
        <f t="shared" si="17"/>
        <v>-2998.9426820863996</v>
      </c>
      <c r="O56" s="14">
        <f t="shared" si="18"/>
        <v>873.15903433007088</v>
      </c>
      <c r="P56" s="14">
        <f t="shared" si="19"/>
        <v>-2998.9426820863996</v>
      </c>
      <c r="Q56" s="14">
        <f t="shared" si="20"/>
        <v>4006.7998788803388</v>
      </c>
      <c r="R56" s="7">
        <f t="shared" si="21"/>
        <v>0.66317620601307692</v>
      </c>
    </row>
    <row r="57" spans="6:18">
      <c r="F57" s="16"/>
      <c r="H57" s="1">
        <f t="shared" si="22"/>
        <v>2435779.8134353929</v>
      </c>
      <c r="I57" s="8">
        <f t="shared" si="13"/>
        <v>-3155369.7901755678</v>
      </c>
      <c r="J57" s="12">
        <f t="shared" si="11"/>
        <v>599.38445947598518</v>
      </c>
      <c r="K57" s="1">
        <f t="shared" si="14"/>
        <v>-56205528.375257269</v>
      </c>
      <c r="L57" s="1">
        <f t="shared" ref="L57:L68" si="23">IF(ABS(I57)&lt;ABS(K57),I57,K57)</f>
        <v>-3155369.7901755678</v>
      </c>
      <c r="M57" s="14">
        <f t="shared" ref="M57:M68" si="24">H57/1000</f>
        <v>2435.779813435393</v>
      </c>
      <c r="N57" s="14">
        <f t="shared" ref="N57:N68" si="25">I57/1000</f>
        <v>-3155.3697901755677</v>
      </c>
      <c r="O57" s="14">
        <f t="shared" ref="O57:O68" si="26">J57*1.43+10</f>
        <v>867.11977705065874</v>
      </c>
      <c r="P57" s="14">
        <f t="shared" ref="P57:P68" si="27">L57/1000</f>
        <v>-3155.3697901755677</v>
      </c>
      <c r="Q57" s="14">
        <f t="shared" ref="Q57:Q68" si="28">SQRT(M57^2+P57^2)</f>
        <v>3986.1487443762007</v>
      </c>
      <c r="R57" s="7">
        <f t="shared" ref="R57:R68" si="29">M57/SQRT(M57^2+P57^2)</f>
        <v>0.61106094369204789</v>
      </c>
    </row>
    <row r="58" spans="6:18">
      <c r="F58" s="16"/>
      <c r="H58" s="1">
        <f t="shared" si="22"/>
        <v>2214345.2849412663</v>
      </c>
      <c r="I58" s="8">
        <f t="shared" si="13"/>
        <v>-3292604.6220387584</v>
      </c>
      <c r="J58" s="12">
        <f t="shared" si="11"/>
        <v>595.65470282429362</v>
      </c>
      <c r="K58" s="1">
        <f t="shared" si="14"/>
        <v>-56223961.813539483</v>
      </c>
      <c r="L58" s="1">
        <f t="shared" si="23"/>
        <v>-3292604.6220387584</v>
      </c>
      <c r="M58" s="14">
        <f t="shared" si="24"/>
        <v>2214.3452849412661</v>
      </c>
      <c r="N58" s="14">
        <f t="shared" si="25"/>
        <v>-3292.6046220387584</v>
      </c>
      <c r="O58" s="14">
        <f t="shared" si="26"/>
        <v>861.78622503873987</v>
      </c>
      <c r="P58" s="14">
        <f t="shared" si="27"/>
        <v>-3292.6046220387584</v>
      </c>
      <c r="Q58" s="14">
        <f t="shared" si="28"/>
        <v>3967.942821918256</v>
      </c>
      <c r="R58" s="7">
        <f t="shared" si="29"/>
        <v>0.55805876856631886</v>
      </c>
    </row>
    <row r="59" spans="6:18">
      <c r="F59" s="16"/>
      <c r="H59" s="1">
        <f t="shared" si="22"/>
        <v>1992910.7564471397</v>
      </c>
      <c r="I59" s="8">
        <f t="shared" si="13"/>
        <v>-3412653.0255191107</v>
      </c>
      <c r="J59" s="12">
        <f t="shared" si="11"/>
        <v>592.37278138357271</v>
      </c>
      <c r="K59" s="1">
        <f t="shared" si="14"/>
        <v>-56240629.213015549</v>
      </c>
      <c r="L59" s="1">
        <f t="shared" si="23"/>
        <v>-3412653.0255191107</v>
      </c>
      <c r="M59" s="14">
        <f t="shared" si="24"/>
        <v>1992.9107564471396</v>
      </c>
      <c r="N59" s="14">
        <f t="shared" si="25"/>
        <v>-3412.6530255191105</v>
      </c>
      <c r="O59" s="14">
        <f t="shared" si="26"/>
        <v>857.09307737850895</v>
      </c>
      <c r="P59" s="14">
        <f t="shared" si="27"/>
        <v>-3412.6530255191105</v>
      </c>
      <c r="Q59" s="14">
        <f t="shared" si="28"/>
        <v>3951.9481215911032</v>
      </c>
      <c r="R59" s="7">
        <f t="shared" si="29"/>
        <v>0.50428565738478603</v>
      </c>
    </row>
    <row r="60" spans="6:18">
      <c r="F60" s="16"/>
      <c r="H60" s="1">
        <f t="shared" si="22"/>
        <v>1771476.227953013</v>
      </c>
      <c r="I60" s="8">
        <f t="shared" si="13"/>
        <v>-3517045.6102551743</v>
      </c>
      <c r="J60" s="12">
        <f t="shared" si="11"/>
        <v>589.50401141401005</v>
      </c>
      <c r="K60" s="1">
        <f t="shared" si="14"/>
        <v>-56255533.730739087</v>
      </c>
      <c r="L60" s="1">
        <f t="shared" si="23"/>
        <v>-3517045.6102551743</v>
      </c>
      <c r="M60" s="14">
        <f t="shared" si="24"/>
        <v>1771.476227953013</v>
      </c>
      <c r="N60" s="14">
        <f t="shared" si="25"/>
        <v>-3517.0456102551743</v>
      </c>
      <c r="O60" s="14">
        <f t="shared" si="26"/>
        <v>852.99073632203431</v>
      </c>
      <c r="P60" s="14">
        <f t="shared" si="27"/>
        <v>-3517.0456102551743</v>
      </c>
      <c r="Q60" s="14">
        <f t="shared" si="28"/>
        <v>3937.9865224271434</v>
      </c>
      <c r="R60" s="7">
        <f t="shared" si="29"/>
        <v>0.44984314137804088</v>
      </c>
    </row>
    <row r="61" spans="6:18">
      <c r="F61" s="16"/>
      <c r="H61" s="1">
        <f t="shared" si="22"/>
        <v>1550041.6994588864</v>
      </c>
      <c r="I61" s="8">
        <f t="shared" si="13"/>
        <v>-3606968.4133479092</v>
      </c>
      <c r="J61" s="12">
        <f t="shared" si="11"/>
        <v>587.02164025912555</v>
      </c>
      <c r="K61" s="1">
        <f t="shared" si="14"/>
        <v>-56268678.183477208</v>
      </c>
      <c r="L61" s="1">
        <f t="shared" si="23"/>
        <v>-3606968.4133479092</v>
      </c>
      <c r="M61" s="14">
        <f t="shared" si="24"/>
        <v>1550.0416994588863</v>
      </c>
      <c r="N61" s="14">
        <f t="shared" si="25"/>
        <v>-3606.9684133479091</v>
      </c>
      <c r="O61" s="14">
        <f t="shared" si="26"/>
        <v>849.4409455705495</v>
      </c>
      <c r="P61" s="14">
        <f t="shared" si="27"/>
        <v>-3606.9684133479091</v>
      </c>
      <c r="Q61" s="14">
        <f t="shared" si="28"/>
        <v>3925.9203258536622</v>
      </c>
      <c r="R61" s="7">
        <f t="shared" si="29"/>
        <v>0.3948225055030482</v>
      </c>
    </row>
    <row r="62" spans="6:18">
      <c r="F62" s="16"/>
      <c r="H62" s="1">
        <f t="shared" si="22"/>
        <v>1328607.1709647598</v>
      </c>
      <c r="I62" s="8">
        <f t="shared" si="13"/>
        <v>-3683348.5216617612</v>
      </c>
      <c r="J62" s="12">
        <f t="shared" si="11"/>
        <v>584.90484828787817</v>
      </c>
      <c r="K62" s="1">
        <f t="shared" si="14"/>
        <v>-56280065.050388798</v>
      </c>
      <c r="L62" s="1">
        <f t="shared" si="23"/>
        <v>-3683348.5216617612</v>
      </c>
      <c r="M62" s="14">
        <f t="shared" si="24"/>
        <v>1328.6071709647597</v>
      </c>
      <c r="N62" s="14">
        <f t="shared" si="25"/>
        <v>-3683.3485216617614</v>
      </c>
      <c r="O62" s="14">
        <f t="shared" si="26"/>
        <v>846.41393305166571</v>
      </c>
      <c r="P62" s="14">
        <f t="shared" si="27"/>
        <v>-3683.3485216617614</v>
      </c>
      <c r="Q62" s="14">
        <f t="shared" si="28"/>
        <v>3915.6421372192412</v>
      </c>
      <c r="R62" s="7">
        <f t="shared" si="29"/>
        <v>0.33930760891961703</v>
      </c>
    </row>
    <row r="63" spans="6:18">
      <c r="F63" s="16"/>
      <c r="H63" s="1">
        <f t="shared" si="22"/>
        <v>1107172.6424706331</v>
      </c>
      <c r="I63" s="8">
        <f t="shared" si="13"/>
        <v>-3746911.9683480393</v>
      </c>
      <c r="J63" s="12">
        <f t="shared" si="11"/>
        <v>583.13739816115708</v>
      </c>
      <c r="K63" s="1">
        <f t="shared" si="14"/>
        <v>-56289696.475373954</v>
      </c>
      <c r="L63" s="1">
        <f t="shared" si="23"/>
        <v>-3746911.9683480393</v>
      </c>
      <c r="M63" s="14">
        <f t="shared" si="24"/>
        <v>1107.172642470633</v>
      </c>
      <c r="N63" s="14">
        <f t="shared" si="25"/>
        <v>-3746.9119683480394</v>
      </c>
      <c r="O63" s="14">
        <f t="shared" si="26"/>
        <v>843.88647937045459</v>
      </c>
      <c r="P63" s="14">
        <f t="shared" si="27"/>
        <v>-3746.9119683480394</v>
      </c>
      <c r="Q63" s="14">
        <f t="shared" si="28"/>
        <v>3907.0680258712136</v>
      </c>
      <c r="R63" s="7">
        <f t="shared" si="29"/>
        <v>0.28337685321559031</v>
      </c>
    </row>
    <row r="64" spans="6:18">
      <c r="F64" s="16"/>
      <c r="H64" s="1">
        <f t="shared" si="22"/>
        <v>885738.1139765064</v>
      </c>
      <c r="I64" s="8">
        <f t="shared" si="13"/>
        <v>-3798223.7718808614</v>
      </c>
      <c r="J64" s="12">
        <f t="shared" si="11"/>
        <v>581.70670086616542</v>
      </c>
      <c r="K64" s="1">
        <f t="shared" si="14"/>
        <v>-56297574.269099794</v>
      </c>
      <c r="L64" s="1">
        <f t="shared" si="23"/>
        <v>-3798223.7718808614</v>
      </c>
      <c r="M64" s="14">
        <f t="shared" si="24"/>
        <v>885.73811397650638</v>
      </c>
      <c r="N64" s="14">
        <f t="shared" si="25"/>
        <v>-3798.2237718808615</v>
      </c>
      <c r="O64" s="14">
        <f t="shared" si="26"/>
        <v>841.84058223861655</v>
      </c>
      <c r="P64" s="14">
        <f t="shared" si="27"/>
        <v>-3798.2237718808615</v>
      </c>
      <c r="Q64" s="14">
        <f t="shared" si="28"/>
        <v>3900.1327961790657</v>
      </c>
      <c r="R64" s="7">
        <f t="shared" si="29"/>
        <v>0.22710460393662957</v>
      </c>
    </row>
    <row r="65" spans="6:18">
      <c r="F65" s="16"/>
      <c r="H65" s="1">
        <f t="shared" si="22"/>
        <v>664303.58548237965</v>
      </c>
      <c r="I65" s="8">
        <f t="shared" si="13"/>
        <v>-3837715.9864090597</v>
      </c>
      <c r="J65" s="12">
        <f t="shared" si="11"/>
        <v>580.60316146266155</v>
      </c>
      <c r="K65" s="1">
        <f t="shared" si="14"/>
        <v>-56303699.910707183</v>
      </c>
      <c r="L65" s="1">
        <f t="shared" si="23"/>
        <v>-3837715.9864090597</v>
      </c>
      <c r="M65" s="14">
        <f t="shared" si="24"/>
        <v>664.30358548237962</v>
      </c>
      <c r="N65" s="14">
        <f t="shared" si="25"/>
        <v>-3837.71598640906</v>
      </c>
      <c r="O65" s="14">
        <f t="shared" si="26"/>
        <v>840.26252089160596</v>
      </c>
      <c r="P65" s="14">
        <f t="shared" si="27"/>
        <v>-3837.71598640906</v>
      </c>
      <c r="Q65" s="14">
        <f t="shared" si="28"/>
        <v>3894.7866752910113</v>
      </c>
      <c r="R65" s="7">
        <f t="shared" si="29"/>
        <v>0.17056225176510958</v>
      </c>
    </row>
    <row r="66" spans="6:18">
      <c r="F66" s="16"/>
      <c r="H66" s="1">
        <f t="shared" si="22"/>
        <v>442869.05698825291</v>
      </c>
      <c r="I66" s="8">
        <f t="shared" si="13"/>
        <v>-3865707.3682401069</v>
      </c>
      <c r="J66" s="12">
        <f t="shared" si="11"/>
        <v>579.81972039222626</v>
      </c>
      <c r="K66" s="1">
        <f t="shared" si="14"/>
        <v>-56308074.549201943</v>
      </c>
      <c r="L66" s="1">
        <f t="shared" si="23"/>
        <v>-3865707.3682401069</v>
      </c>
      <c r="M66" s="14">
        <f t="shared" si="24"/>
        <v>442.86905698825291</v>
      </c>
      <c r="N66" s="14">
        <f t="shared" si="25"/>
        <v>-3865.7073682401069</v>
      </c>
      <c r="O66" s="14">
        <f t="shared" si="26"/>
        <v>839.14220016088348</v>
      </c>
      <c r="P66" s="14">
        <f t="shared" si="27"/>
        <v>-3865.7073682401069</v>
      </c>
      <c r="Q66" s="14">
        <f t="shared" si="28"/>
        <v>3890.9929913202768</v>
      </c>
      <c r="R66" s="7">
        <f t="shared" si="29"/>
        <v>0.11381903230773496</v>
      </c>
    </row>
    <row r="67" spans="6:18">
      <c r="F67" s="16"/>
      <c r="H67" s="1">
        <f t="shared" si="22"/>
        <v>221434.52849412619</v>
      </c>
      <c r="I67" s="8">
        <f t="shared" si="13"/>
        <v>-3882416.9177760258</v>
      </c>
      <c r="J67" s="12">
        <f t="shared" si="11"/>
        <v>579.35153763146423</v>
      </c>
      <c r="K67" s="1">
        <f t="shared" si="14"/>
        <v>-56310699.004533872</v>
      </c>
      <c r="L67" s="1">
        <f t="shared" si="23"/>
        <v>-3882416.9177760258</v>
      </c>
      <c r="M67" s="14">
        <f t="shared" si="24"/>
        <v>221.4345284941262</v>
      </c>
      <c r="N67" s="14">
        <f t="shared" si="25"/>
        <v>-3882.4169177760259</v>
      </c>
      <c r="O67" s="14">
        <f t="shared" si="26"/>
        <v>838.47269881299383</v>
      </c>
      <c r="P67" s="14">
        <f t="shared" si="27"/>
        <v>-3882.4169177760259</v>
      </c>
      <c r="Q67" s="14">
        <f t="shared" si="28"/>
        <v>3888.7265748369236</v>
      </c>
      <c r="R67" s="7">
        <f t="shared" si="29"/>
        <v>5.6942683995058765E-2</v>
      </c>
    </row>
    <row r="68" spans="6:18">
      <c r="F68" s="16"/>
      <c r="H68" s="1">
        <f t="shared" si="22"/>
        <v>-5.2386894822120667E-10</v>
      </c>
      <c r="I68" s="8">
        <f t="shared" si="13"/>
        <v>-3887972.7159253843</v>
      </c>
      <c r="J68" s="12">
        <f>SQRT(3)*SQRT(($B$3/SQRT(3)*K_1+SQRT(H68^2+I68^2)/SQRT(3)/$B$3/Nm*I68/SQRT(H68^2+I68^2)*K_2)^2+(SQRT(H68^2+I68^2)/SQRT(3)/$B$3/Nm*H68/SQRT(H68^2+I68^2)*K_2)^2)</f>
        <v>579.19578658958153</v>
      </c>
      <c r="K68" s="1">
        <f t="shared" si="14"/>
        <v>-56311573.768365711</v>
      </c>
      <c r="L68" s="1">
        <f t="shared" si="23"/>
        <v>-3887972.7159253843</v>
      </c>
      <c r="M68" s="14">
        <f t="shared" si="24"/>
        <v>-5.2386894822120663E-13</v>
      </c>
      <c r="N68" s="14">
        <f t="shared" si="25"/>
        <v>-3887.9727159253844</v>
      </c>
      <c r="O68" s="14">
        <f t="shared" si="26"/>
        <v>838.24997482310152</v>
      </c>
      <c r="P68" s="14">
        <f t="shared" si="27"/>
        <v>-3887.9727159253844</v>
      </c>
      <c r="Q68" s="14">
        <f t="shared" si="28"/>
        <v>3887.9727159253844</v>
      </c>
      <c r="R68" s="7">
        <f t="shared" si="29"/>
        <v>-1.3474090136368652E-16</v>
      </c>
    </row>
  </sheetData>
  <sheetProtection selectLockedCells="1"/>
  <hyperlinks>
    <hyperlink ref="A13" r:id="rId1" display="Vdc@Tmin" xr:uid="{00000000-0004-0000-0E00-000000000000}"/>
    <hyperlink ref="A22" r:id="rId2" display="P@PF=1 (W) (kW)" xr:uid="{00000000-0004-0000-0E00-000001000000}"/>
    <hyperlink ref="C22" r:id="rId3" display="P@PF=1 (kW)" xr:uid="{00000000-0004-0000-0E00-000002000000}"/>
    <hyperlink ref="C23" r:id="rId4" display="P@PF=1 (kW)" xr:uid="{00000000-0004-0000-0E00-000003000000}"/>
  </hyperlinks>
  <pageMargins left="0.7" right="0.7" top="0.75" bottom="0.75" header="0.3" footer="0.3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58"/>
  <sheetViews>
    <sheetView zoomScale="55" zoomScaleNormal="55" workbookViewId="0">
      <selection activeCell="D8" sqref="D8"/>
    </sheetView>
  </sheetViews>
  <sheetFormatPr baseColWidth="10" defaultRowHeight="15"/>
  <cols>
    <col min="2" max="2" width="11.42578125" bestFit="1" customWidth="1"/>
    <col min="5" max="5" width="20.140625" bestFit="1" customWidth="1"/>
    <col min="6" max="25" width="15.85546875" bestFit="1" customWidth="1"/>
    <col min="26" max="26" width="14.85546875" bestFit="1" customWidth="1"/>
  </cols>
  <sheetData>
    <row r="1" spans="1:38" ht="15.75" thickBot="1">
      <c r="E1" s="43" t="s">
        <v>81</v>
      </c>
      <c r="F1" s="186" t="s">
        <v>79</v>
      </c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</row>
    <row r="2" spans="1:38" ht="15.75" thickBot="1">
      <c r="B2" s="31" t="s">
        <v>78</v>
      </c>
      <c r="C2" s="31" t="s">
        <v>75</v>
      </c>
      <c r="E2" s="42" t="s">
        <v>76</v>
      </c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</row>
    <row r="3" spans="1:38">
      <c r="A3">
        <v>0</v>
      </c>
      <c r="B3" s="32">
        <f>Capability!D22/1000</f>
        <v>4.0260823362568487</v>
      </c>
      <c r="C3" s="29">
        <v>0</v>
      </c>
      <c r="E3" s="35" t="s">
        <v>80</v>
      </c>
      <c r="F3" s="37">
        <v>0</v>
      </c>
      <c r="G3" s="38">
        <v>5.5E-2</v>
      </c>
      <c r="H3" s="37">
        <v>0.11</v>
      </c>
      <c r="I3" s="38">
        <v>0.16500000000000001</v>
      </c>
      <c r="J3" s="37">
        <v>0.22</v>
      </c>
      <c r="K3" s="38">
        <v>0.27500000000000002</v>
      </c>
      <c r="L3" s="37">
        <v>0.33</v>
      </c>
      <c r="M3" s="38">
        <v>0.38500000000000001</v>
      </c>
      <c r="N3" s="37">
        <v>0.44</v>
      </c>
      <c r="O3" s="38">
        <v>0.495</v>
      </c>
      <c r="P3" s="37">
        <v>0.55000000000000004</v>
      </c>
      <c r="Q3" s="38">
        <v>0.60499999999999998</v>
      </c>
      <c r="R3" s="37">
        <v>0.66</v>
      </c>
      <c r="S3" s="38">
        <v>0.71499999999999997</v>
      </c>
      <c r="T3" s="37">
        <v>0.77</v>
      </c>
      <c r="U3" s="38">
        <v>0.82499999999999996</v>
      </c>
      <c r="V3" s="37">
        <v>0.88</v>
      </c>
      <c r="W3" s="37">
        <v>0.89375000000000004</v>
      </c>
      <c r="X3" s="37">
        <v>0.90749999999999997</v>
      </c>
      <c r="Y3" s="37">
        <v>0.92125000000000001</v>
      </c>
      <c r="Z3" s="37">
        <v>0.93500000000000005</v>
      </c>
      <c r="AA3" s="37">
        <v>0.94874999999999998</v>
      </c>
      <c r="AB3" s="37">
        <v>0.96250000000000002</v>
      </c>
      <c r="AC3" s="37">
        <v>0.97624999999999995</v>
      </c>
      <c r="AD3" s="37">
        <v>0.99</v>
      </c>
      <c r="AE3" s="37">
        <v>1.0037499999999999</v>
      </c>
      <c r="AF3" s="37">
        <v>1.0175000000000001</v>
      </c>
      <c r="AG3" s="37">
        <v>1.03125</v>
      </c>
      <c r="AH3" s="37">
        <v>1.0449999999999999</v>
      </c>
      <c r="AI3" s="37">
        <v>1.0587500000000001</v>
      </c>
      <c r="AJ3" s="37">
        <v>1.0725</v>
      </c>
      <c r="AK3" s="37">
        <v>1.0862499999999999</v>
      </c>
      <c r="AL3" s="37">
        <v>1.1000000000000001</v>
      </c>
    </row>
    <row r="4" spans="1:38">
      <c r="A4">
        <v>1</v>
      </c>
      <c r="C4" s="29">
        <v>5.5E-2</v>
      </c>
      <c r="E4" s="36">
        <v>0.9</v>
      </c>
      <c r="F4" s="39">
        <f>'V_0,9pu_DIG'!$P$4/V_1pu_DIG!$D$22</f>
        <v>0.98506072069656547</v>
      </c>
      <c r="G4" s="40">
        <f>'V_0,9pu_DIG'!$P$5/V_1pu_DIG!$D$22</f>
        <v>0.98337358840062994</v>
      </c>
      <c r="H4" s="40">
        <f>'V_0,9pu_DIG'!$P$6/V_1pu_DIG!$D$22</f>
        <v>0.97829301463020291</v>
      </c>
      <c r="I4" s="40">
        <f>'V_0,9pu_DIG'!$P$7/V_1pu_DIG!$D$22</f>
        <v>0.96976036205346061</v>
      </c>
      <c r="J4" s="40">
        <f>'V_0,9pu_DIG'!$P$8/V_1pu_DIG!$D$22</f>
        <v>0.95767406028505164</v>
      </c>
      <c r="K4" s="40">
        <f>'V_0,9pu_DIG'!$P$9/V_1pu_DIG!$D$22</f>
        <v>0.94188327061590227</v>
      </c>
      <c r="L4" s="40">
        <f>'V_0,9pu_DIG'!$P$10/V_1pu_DIG!$D$22</f>
        <v>0.92217771346480371</v>
      </c>
      <c r="M4" s="40">
        <f>'V_0,9pu_DIG'!$P$11/V_1pu_DIG!$D$22</f>
        <v>0.89827191809858919</v>
      </c>
      <c r="N4" s="40">
        <f>'V_0,9pu_DIG'!$P$12/V_1pu_DIG!$D$22</f>
        <v>0.86978080181775697</v>
      </c>
      <c r="O4" s="40">
        <f>'V_0,9pu_DIG'!$P$13/V_1pu_DIG!$D$22</f>
        <v>0.83618090559755665</v>
      </c>
      <c r="P4" s="40">
        <f>'V_0,9pu_DIG'!$P$14/V_1pu_DIG!$D$22</f>
        <v>0.79674629875918679</v>
      </c>
      <c r="Q4" s="40">
        <f>'V_0,9pu_DIG'!$P$15/V_1pu_DIG!$D$22</f>
        <v>0.7504362150085151</v>
      </c>
      <c r="R4" s="40">
        <f>'V_0,9pu_DIG'!$P$16/V_1pu_DIG!$D$22</f>
        <v>0.6956814936924498</v>
      </c>
      <c r="S4" s="40">
        <f>'V_0,9pu_DIG'!$P$17/V_1pu_DIG!$D$22</f>
        <v>0.62992978663066435</v>
      </c>
      <c r="T4" s="40">
        <f>'V_0,9pu_DIG'!$P$18/V_1pu_DIG!$D$22</f>
        <v>0.54849712041439302</v>
      </c>
      <c r="U4" s="40">
        <f>'V_0,9pu_DIG'!$P$19/V_1pu_DIG!$D$22</f>
        <v>0.44069218849282749</v>
      </c>
      <c r="V4" s="40">
        <f>'V_0,9pu_DIG'!$P$20/V_1pu_DIG!$D$22</f>
        <v>0.2632546379179026</v>
      </c>
      <c r="W4" s="40">
        <f>'V_0,9pu_DIG'!$P$21/V_1pu_DIG!$D$22</f>
        <v>0.16785922017507912</v>
      </c>
      <c r="X4" s="40">
        <f>'V_0,9pu_DIG'!$P$22/V_1pu_DIG!$D$22</f>
        <v>8.7725513884859524E-2</v>
      </c>
      <c r="Y4" s="40">
        <f>'V_0,9pu_DIG'!$P$23/V_1pu_DIG!$D$22</f>
        <v>8.7725513884859524E-2</v>
      </c>
      <c r="Z4" s="41">
        <f>'V_0,9pu_DIG'!$P$24/V_1pu_DIG!$D$22</f>
        <v>8.7725513884859524E-2</v>
      </c>
      <c r="AA4" s="41">
        <f>'V_0,9pu_DIG'!$P$25/V_1pu_DIG!$D$22</f>
        <v>8.7725513884859524E-2</v>
      </c>
      <c r="AB4" s="41">
        <f>'V_0,9pu_DIG'!$P$26/V_1pu_DIG!$D$22</f>
        <v>8.7725513884859524E-2</v>
      </c>
      <c r="AC4" s="41">
        <f>'V_0,9pu_DIG'!$P$27/V_1pu_DIG!$D$22</f>
        <v>8.7725513884859524E-2</v>
      </c>
      <c r="AD4" s="41">
        <f>'V_0,9pu_DIG'!$P$28/V_1pu_DIG!$D$22</f>
        <v>8.7725513884859524E-2</v>
      </c>
      <c r="AE4" s="41">
        <f>'V_0,9pu_DIG'!$P$29/V_1pu_DIG!$D$22</f>
        <v>8.7725513884859524E-2</v>
      </c>
      <c r="AF4" s="41">
        <f>'V_0,9pu_DIG'!$P$30/V_1pu_DIG!$D$22</f>
        <v>8.7725513884859524E-2</v>
      </c>
      <c r="AG4" s="41">
        <f>'V_0,9pu_DIG'!$P$31/V_1pu_DIG!$D$22</f>
        <v>8.7725513884859524E-2</v>
      </c>
      <c r="AH4" s="41">
        <f>'V_0,9pu_DIG'!$P$32/V_1pu_DIG!$D$22</f>
        <v>8.7725513884859524E-2</v>
      </c>
      <c r="AI4" s="41">
        <f>'V_0,9pu_DIG'!$P$33/V_1pu_DIG!$D$22</f>
        <v>8.7725513884859524E-2</v>
      </c>
      <c r="AJ4" s="41">
        <f>'V_0,9pu_DIG'!$P$34/V_1pu_DIG!$D$22</f>
        <v>8.7725513884859524E-2</v>
      </c>
      <c r="AK4" s="41">
        <f>'V_0,9pu_DIG'!$P$35/V_1pu_DIG!$D$22</f>
        <v>8.7725513884859524E-2</v>
      </c>
      <c r="AL4" s="41">
        <f>'V_0,9pu_DIG'!$P$36/V_1pu_DIG!$D$22</f>
        <v>8.7725513884859524E-2</v>
      </c>
    </row>
    <row r="5" spans="1:38">
      <c r="A5">
        <v>2</v>
      </c>
      <c r="C5" s="29">
        <v>0.11</v>
      </c>
      <c r="E5" s="36">
        <v>0.92</v>
      </c>
      <c r="F5" s="39">
        <f>'V_0,92pu_DIG'!$P$4/V_1pu_DIG!$D$22</f>
        <v>0.90797714258396411</v>
      </c>
      <c r="G5" s="40">
        <f>'V_0,92pu_DIG'!$P$5/V_1pu_DIG!$D$22</f>
        <v>0.90771735646884555</v>
      </c>
      <c r="H5" s="40">
        <f>'V_0,92pu_DIG'!$P$6/V_1pu_DIG!$D$22</f>
        <v>0.90693792856157984</v>
      </c>
      <c r="I5" s="40">
        <f>'V_0,92pu_DIG'!$P$7/V_1pu_DIG!$D$22</f>
        <v>0.90563865008326661</v>
      </c>
      <c r="J5" s="40">
        <f>'V_0,92pu_DIG'!$P$8/V_1pu_DIG!$D$22</f>
        <v>0.9038191727582352</v>
      </c>
      <c r="K5" s="40">
        <f>'V_0,92pu_DIG'!$P$9/V_1pu_DIG!$D$22</f>
        <v>0.90147900834675632</v>
      </c>
      <c r="L5" s="40">
        <f>'V_0,92pu_DIG'!$P$10/V_1pu_DIG!$D$22</f>
        <v>0.89861752798880334</v>
      </c>
      <c r="M5" s="40">
        <f>'V_0,92pu_DIG'!$P$11/V_1pu_DIG!$D$22</f>
        <v>0.89523396135678213</v>
      </c>
      <c r="N5" s="40">
        <f>'V_0,92pu_DIG'!$P$12/V_1pu_DIG!$D$22</f>
        <v>0.89132739561456831</v>
      </c>
      <c r="O5" s="40">
        <f>'V_0,92pu_DIG'!$P$13/V_1pu_DIG!$D$22</f>
        <v>0.86391786199587695</v>
      </c>
      <c r="P5" s="40">
        <f>'V_0,92pu_DIG'!$P$14/V_1pu_DIG!$D$22</f>
        <v>0.82576259109185723</v>
      </c>
      <c r="Q5" s="40">
        <f>'V_0,92pu_DIG'!$P$15/V_1pu_DIG!$D$22</f>
        <v>0.78113873270950296</v>
      </c>
      <c r="R5" s="40">
        <f>'V_0,92pu_DIG'!$P$16/V_1pu_DIG!$D$22</f>
        <v>0.72868834333146626</v>
      </c>
      <c r="S5" s="40">
        <f>'V_0,92pu_DIG'!$P$17/V_1pu_DIG!$D$22</f>
        <v>0.66627216759616981</v>
      </c>
      <c r="T5" s="40">
        <f>'V_0,92pu_DIG'!$P$18/V_1pu_DIG!$D$22</f>
        <v>0.59016071604851961</v>
      </c>
      <c r="U5" s="40">
        <f>'V_0,92pu_DIG'!$P$19/V_1pu_DIG!$D$22</f>
        <v>0.49262939132422934</v>
      </c>
      <c r="V5" s="40">
        <f>'V_0,92pu_DIG'!$P$20/V_1pu_DIG!$D$22</f>
        <v>0.35050213470872221</v>
      </c>
      <c r="W5" s="40">
        <f>'V_0,92pu_DIG'!$P$21/V_1pu_DIG!$D$22</f>
        <v>0.29808038657375197</v>
      </c>
      <c r="X5" s="40">
        <f>'V_0,92pu_DIG'!$P$22/V_1pu_DIG!$D$22</f>
        <v>0.2252304300256229</v>
      </c>
      <c r="Y5" s="40">
        <f>'V_0,92pu_DIG'!$P$23/V_1pu_DIG!$D$22</f>
        <v>9.1667746854500132E-2</v>
      </c>
      <c r="Z5" s="41">
        <f>'V_0,92pu_DIG'!$P$24/V_1pu_DIG!$D$22</f>
        <v>9.1667746854500132E-2</v>
      </c>
      <c r="AA5" s="41">
        <f>'V_0,92pu_DIG'!$P$25/V_1pu_DIG!$D$22</f>
        <v>9.1667746854500132E-2</v>
      </c>
      <c r="AB5" s="41">
        <f>'V_0,92pu_DIG'!$P$26/V_1pu_DIG!$D$22</f>
        <v>9.1667746854500132E-2</v>
      </c>
      <c r="AC5" s="41">
        <f>'V_0,92pu_DIG'!$P$27/V_1pu_DIG!$D$22</f>
        <v>9.1667746854500132E-2</v>
      </c>
      <c r="AD5" s="41">
        <f>'V_0,92pu_DIG'!$P$28/V_1pu_DIG!$D$22</f>
        <v>9.1667746854500132E-2</v>
      </c>
      <c r="AE5" s="41">
        <f>'V_0,92pu_DIG'!$P$29/V_1pu_DIG!$D$22</f>
        <v>9.1667746854500132E-2</v>
      </c>
      <c r="AF5" s="41">
        <f>'V_0,92pu_DIG'!$P$30/V_1pu_DIG!$D$22</f>
        <v>9.1667746854500132E-2</v>
      </c>
      <c r="AG5" s="41">
        <f>'V_0,92pu_DIG'!$P$31/V_1pu_DIG!$D$22</f>
        <v>9.1667746854500132E-2</v>
      </c>
      <c r="AH5" s="41">
        <f>'V_0,92pu_DIG'!$P$32/V_1pu_DIG!$D$22</f>
        <v>9.1667746854500132E-2</v>
      </c>
      <c r="AI5" s="41">
        <f>'V_0,92pu_DIG'!$P$33/V_1pu_DIG!$D$22</f>
        <v>9.1667746854500132E-2</v>
      </c>
      <c r="AJ5" s="41">
        <f>'V_0,92pu_DIG'!$P$34/V_1pu_DIG!$D$22</f>
        <v>9.1667746854500132E-2</v>
      </c>
      <c r="AK5" s="41">
        <f>'V_0,92pu_DIG'!$P$35/V_1pu_DIG!$D$22</f>
        <v>9.1667746854500132E-2</v>
      </c>
      <c r="AL5" s="41">
        <f>'V_0,92pu_DIG'!$P$36/V_1pu_DIG!$D$22</f>
        <v>9.1667746854500132E-2</v>
      </c>
    </row>
    <row r="6" spans="1:38">
      <c r="A6">
        <v>3</v>
      </c>
      <c r="C6" s="29">
        <v>0.16500000000000001</v>
      </c>
      <c r="E6" s="36">
        <v>0.94</v>
      </c>
      <c r="F6" s="39">
        <f>'V_0,94pu_DIG'!$P$4/V_1pu_DIG!$D$22</f>
        <v>0.81856183224191803</v>
      </c>
      <c r="G6" s="40">
        <f>'V_0,94pu_DIG'!$P$5/V_1pu_DIG!$D$22</f>
        <v>0.81830757372977547</v>
      </c>
      <c r="H6" s="40">
        <f>'V_0,94pu_DIG'!$P$6/V_1pu_DIG!$D$22</f>
        <v>0.81754473297837071</v>
      </c>
      <c r="I6" s="40">
        <f>'V_0,94pu_DIG'!$P$7/V_1pu_DIG!$D$22</f>
        <v>0.81627311425910742</v>
      </c>
      <c r="J6" s="40">
        <f>'V_0,94pu_DIG'!$P$8/V_1pu_DIG!$D$22</f>
        <v>0.81449239107852944</v>
      </c>
      <c r="K6" s="40">
        <f>'V_0,94pu_DIG'!$P$9/V_1pu_DIG!$D$22</f>
        <v>0.81220210575874685</v>
      </c>
      <c r="L6" s="40">
        <f>'V_0,94pu_DIG'!$P$10/V_1pu_DIG!$D$22</f>
        <v>0.80940166884827269</v>
      </c>
      <c r="M6" s="40">
        <f>'V_0,94pu_DIG'!$P$11/V_1pu_DIG!$D$22</f>
        <v>0.80609035836149079</v>
      </c>
      <c r="N6" s="40">
        <f>'V_0,94pu_DIG'!$P$12/V_1pu_DIG!$D$22</f>
        <v>0.80226731884447267</v>
      </c>
      <c r="O6" s="40">
        <f>'V_0,94pu_DIG'!$P$13/V_1pu_DIG!$D$22</f>
        <v>0.7979315602642969</v>
      </c>
      <c r="P6" s="40">
        <f>'V_0,94pu_DIG'!$P$14/V_1pu_DIG!$D$22</f>
        <v>0.79308195671849246</v>
      </c>
      <c r="Q6" s="40">
        <f>'V_0,94pu_DIG'!$P$15/V_1pu_DIG!$D$22</f>
        <v>0.78771724496066409</v>
      </c>
      <c r="R6" s="40">
        <f>'V_0,94pu_DIG'!$P$16/V_1pu_DIG!$D$22</f>
        <v>0.7611102357019025</v>
      </c>
      <c r="S6" s="40">
        <f>'V_0,94pu_DIG'!$P$17/V_1pu_DIG!$D$22</f>
        <v>0.70162588954143712</v>
      </c>
      <c r="T6" s="40">
        <f>'V_0,94pu_DIG'!$P$18/V_1pu_DIG!$D$22</f>
        <v>0.62999548707396114</v>
      </c>
      <c r="U6" s="40">
        <f>'V_0,94pu_DIG'!$P$19/V_1pu_DIG!$D$22</f>
        <v>0.54038783752410435</v>
      </c>
      <c r="V6" s="40">
        <f>'V_0,94pu_DIG'!$P$20/V_1pu_DIG!$D$22</f>
        <v>0.41814859840773333</v>
      </c>
      <c r="W6" s="40">
        <f>'V_0,94pu_DIG'!$P$21/V_1pu_DIG!$D$22</f>
        <v>0.37780690994512989</v>
      </c>
      <c r="X6" s="40">
        <f>'V_0,94pu_DIG'!$P$22/V_1pu_DIG!$D$22</f>
        <v>0.3298312564200877</v>
      </c>
      <c r="Y6" s="40">
        <f>'V_0,94pu_DIG'!$P$23/V_1pu_DIG!$D$22</f>
        <v>0.26795722253604454</v>
      </c>
      <c r="Z6" s="41">
        <f>'V_0,94pu_DIG'!$P$24/V_1pu_DIG!$D$22</f>
        <v>0.16011926499784759</v>
      </c>
      <c r="AA6" s="41">
        <f>'V_0,94pu_DIG'!$P$25/V_1pu_DIG!$D$22</f>
        <v>9.569662230698997E-2</v>
      </c>
      <c r="AB6" s="41">
        <f>'V_0,94pu_DIG'!$P$26/V_1pu_DIG!$D$22</f>
        <v>9.569662230698997E-2</v>
      </c>
      <c r="AC6" s="41">
        <f>'V_0,94pu_DIG'!$P$27/V_1pu_DIG!$D$22</f>
        <v>9.569662230698997E-2</v>
      </c>
      <c r="AD6" s="41">
        <f>'V_0,94pu_DIG'!$P$28/V_1pu_DIG!$D$22</f>
        <v>9.569662230698997E-2</v>
      </c>
      <c r="AE6" s="41">
        <f>'V_0,94pu_DIG'!$P$29/V_1pu_DIG!$D$22</f>
        <v>9.569662230698997E-2</v>
      </c>
      <c r="AF6" s="41">
        <f>'V_0,94pu_DIG'!$P$30/V_1pu_DIG!$D$22</f>
        <v>9.569662230698997E-2</v>
      </c>
      <c r="AG6" s="41">
        <f>'V_0,94pu_DIG'!$P$31/V_1pu_DIG!$D$22</f>
        <v>9.569662230698997E-2</v>
      </c>
      <c r="AH6" s="41">
        <f>'V_0,94pu_DIG'!$P$32/V_1pu_DIG!$D$22</f>
        <v>9.569662230698997E-2</v>
      </c>
      <c r="AI6" s="41">
        <f>'V_0,94pu_DIG'!$P$33/V_1pu_DIG!$D$22</f>
        <v>9.569662230698997E-2</v>
      </c>
      <c r="AJ6" s="41">
        <f>'V_0,94pu_DIG'!$P$34/V_1pu_DIG!$D$22</f>
        <v>9.569662230698997E-2</v>
      </c>
      <c r="AK6" s="41">
        <f>'V_0,94pu_DIG'!$P$35/V_1pu_DIG!$D$22</f>
        <v>9.569662230698997E-2</v>
      </c>
      <c r="AL6" s="41">
        <f>'V_0,94pu_DIG'!$P$36/V_1pu_DIG!$D$22</f>
        <v>9.569662230698997E-2</v>
      </c>
    </row>
    <row r="7" spans="1:38">
      <c r="A7">
        <v>4</v>
      </c>
      <c r="C7" s="29">
        <v>0.22</v>
      </c>
      <c r="E7" s="36">
        <v>0.96</v>
      </c>
      <c r="F7" s="39">
        <f>'V_0,96pu_DIG'!$P$4/V_1pu_DIG!$D$22</f>
        <v>0.7245016732242765</v>
      </c>
      <c r="G7" s="40">
        <f>'V_0,96pu_DIG'!$P$5/V_1pu_DIG!$D$22</f>
        <v>0.72425271198385555</v>
      </c>
      <c r="H7" s="40">
        <f>'V_0,96pu_DIG'!$P$6/V_1pu_DIG!$D$22</f>
        <v>0.72350576703976532</v>
      </c>
      <c r="I7" s="40">
        <f>'V_0,96pu_DIG'!$P$7/V_1pu_DIG!$D$22</f>
        <v>0.72226065464822153</v>
      </c>
      <c r="J7" s="40">
        <f>'V_0,96pu_DIG'!$P$8/V_1pu_DIG!$D$22</f>
        <v>0.7205170683183606</v>
      </c>
      <c r="K7" s="40">
        <f>'V_0,96pu_DIG'!$P$9/V_1pu_DIG!$D$22</f>
        <v>0.71827457843464715</v>
      </c>
      <c r="L7" s="40">
        <f>'V_0,96pu_DIG'!$P$10/V_1pu_DIG!$D$22</f>
        <v>0.71553263172672343</v>
      </c>
      <c r="M7" s="40">
        <f>'V_0,96pu_DIG'!$P$11/V_1pu_DIG!$D$22</f>
        <v>0.71229055058517166</v>
      </c>
      <c r="N7" s="40">
        <f>'V_0,96pu_DIG'!$P$12/V_1pu_DIG!$D$22</f>
        <v>0.70854753222121347</v>
      </c>
      <c r="O7" s="40">
        <f>'V_0,96pu_DIG'!$P$13/V_1pu_DIG!$D$22</f>
        <v>0.7043026476679014</v>
      </c>
      <c r="P7" s="40">
        <f>'V_0,96pu_DIG'!$P$14/V_1pu_DIG!$D$22</f>
        <v>0.69955484061988693</v>
      </c>
      <c r="Q7" s="40">
        <f>'V_0,96pu_DIG'!$P$15/V_1pu_DIG!$D$22</f>
        <v>0.69430292610836886</v>
      </c>
      <c r="R7" s="40">
        <f>'V_0,96pu_DIG'!$P$16/V_1pu_DIG!$D$22</f>
        <v>0.68854558900730267</v>
      </c>
      <c r="S7" s="40">
        <f>'V_0,96pu_DIG'!$P$17/V_1pu_DIG!$D$22</f>
        <v>0.68228138236643998</v>
      </c>
      <c r="T7" s="40">
        <f>'V_0,96pu_DIG'!$P$18/V_1pu_DIG!$D$22</f>
        <v>0.66836344228113409</v>
      </c>
      <c r="U7" s="40">
        <f>'V_0,96pu_DIG'!$P$19/V_1pu_DIG!$D$22</f>
        <v>0.58512192074342351</v>
      </c>
      <c r="V7" s="40">
        <f>'V_0,96pu_DIG'!$P$20/V_1pu_DIG!$D$22</f>
        <v>0.47630992649082832</v>
      </c>
      <c r="W7" s="40">
        <f>'V_0,96pu_DIG'!$P$21/V_1pu_DIG!$D$22</f>
        <v>0.44239281767469751</v>
      </c>
      <c r="X7" s="40">
        <f>'V_0,96pu_DIG'!$P$22/V_1pu_DIG!$D$22</f>
        <v>0.40410530981736337</v>
      </c>
      <c r="Y7" s="40">
        <f>'V_0,96pu_DIG'!$P$23/V_1pu_DIG!$D$22</f>
        <v>0.35952163284901167</v>
      </c>
      <c r="Z7" s="41">
        <f>'V_0,96pu_DIG'!$P$24/V_1pu_DIG!$D$22</f>
        <v>0.30456951629999474</v>
      </c>
      <c r="AA7" s="41">
        <f>'V_0,96pu_DIG'!$P$25/V_1pu_DIG!$D$22</f>
        <v>0.22639816060010937</v>
      </c>
      <c r="AB7" s="41">
        <f>'V_0,96pu_DIG'!$P$26/V_1pu_DIG!$D$22</f>
        <v>9.9812140242329039E-2</v>
      </c>
      <c r="AC7" s="41">
        <f>'V_0,96pu_DIG'!$P$27/V_1pu_DIG!$D$22</f>
        <v>9.9812140242329039E-2</v>
      </c>
      <c r="AD7" s="41">
        <f>'V_0,96pu_DIG'!$P$28/V_1pu_DIG!$D$22</f>
        <v>9.9812140242329039E-2</v>
      </c>
      <c r="AE7" s="41">
        <f>'V_0,96pu_DIG'!$P$29/V_1pu_DIG!$D$22</f>
        <v>9.9812140242329039E-2</v>
      </c>
      <c r="AF7" s="41">
        <f>'V_0,96pu_DIG'!$P$30/V_1pu_DIG!$D$22</f>
        <v>9.9812140242329039E-2</v>
      </c>
      <c r="AG7" s="41">
        <f>'V_0,96pu_DIG'!$P$31/V_1pu_DIG!$D$22</f>
        <v>9.9812140242329039E-2</v>
      </c>
      <c r="AH7" s="41">
        <f>'V_0,96pu_DIG'!$P$32/V_1pu_DIG!$D$22</f>
        <v>9.9812140242329039E-2</v>
      </c>
      <c r="AI7" s="41">
        <f>'V_0,96pu_DIG'!$P$33/V_1pu_DIG!$D$22</f>
        <v>9.9812140242329039E-2</v>
      </c>
      <c r="AJ7" s="41">
        <f>'V_0,96pu_DIG'!$P$34/V_1pu_DIG!$D$22</f>
        <v>9.9812140242329039E-2</v>
      </c>
      <c r="AK7" s="41">
        <f>'V_0,96pu_DIG'!$P$35/V_1pu_DIG!$D$22</f>
        <v>9.9812140242329039E-2</v>
      </c>
      <c r="AL7" s="41">
        <f>'V_0,96pu_DIG'!$P$36/V_1pu_DIG!$D$22</f>
        <v>9.9812140242329039E-2</v>
      </c>
    </row>
    <row r="8" spans="1:38">
      <c r="A8">
        <v>5</v>
      </c>
      <c r="C8" s="29">
        <v>0.27500000000000002</v>
      </c>
      <c r="E8" s="36">
        <v>0.98</v>
      </c>
      <c r="F8" s="39">
        <f>'V_0,98pu_DIG'!$P$4/V_1pu_DIG!$D$22</f>
        <v>0.62579666553103963</v>
      </c>
      <c r="G8" s="40">
        <f>'V_0,98pu_DIG'!$P$5/V_1pu_DIG!$D$22</f>
        <v>0.62555278533414416</v>
      </c>
      <c r="H8" s="40">
        <f>'V_0,98pu_DIG'!$P$6/V_1pu_DIG!$D$22</f>
        <v>0.62482108719346707</v>
      </c>
      <c r="I8" s="40">
        <f>'V_0,98pu_DIG'!$P$7/V_1pu_DIG!$D$22</f>
        <v>0.62360139839111273</v>
      </c>
      <c r="J8" s="40">
        <f>'V_0,98pu_DIG'!$P$8/V_1pu_DIG!$D$22</f>
        <v>0.62189343083732285</v>
      </c>
      <c r="K8" s="40">
        <f>'V_0,98pu_DIG'!$P$9/V_1pu_DIG!$D$22</f>
        <v>0.61969678072992074</v>
      </c>
      <c r="L8" s="40">
        <f>'V_0,98pu_DIG'!$P$10/V_1pu_DIG!$D$22</f>
        <v>0.61701092807622115</v>
      </c>
      <c r="M8" s="40">
        <f>'V_0,98pu_DIG'!$P$11/V_1pu_DIG!$D$22</f>
        <v>0.61383523607607793</v>
      </c>
      <c r="N8" s="40">
        <f>'V_0,98pu_DIG'!$P$12/V_1pu_DIG!$D$22</f>
        <v>0.61016895036435859</v>
      </c>
      <c r="O8" s="40">
        <f>'V_0,98pu_DIG'!$P$13/V_1pu_DIG!$D$22</f>
        <v>0.60601119811073922</v>
      </c>
      <c r="P8" s="40">
        <f>'V_0,98pu_DIG'!$P$14/V_1pu_DIG!$D$22</f>
        <v>0.60136098697429397</v>
      </c>
      <c r="Q8" s="40">
        <f>'V_0,98pu_DIG'!$P$15/V_1pu_DIG!$D$22</f>
        <v>0.59621720390994815</v>
      </c>
      <c r="R8" s="40">
        <f>'V_0,98pu_DIG'!$P$16/V_1pu_DIG!$D$22</f>
        <v>0.59057861382340526</v>
      </c>
      <c r="S8" s="40">
        <f>'V_0,98pu_DIG'!$P$17/V_1pu_DIG!$D$22</f>
        <v>0.58444385807073773</v>
      </c>
      <c r="T8" s="40">
        <f>'V_0,98pu_DIG'!$P$18/V_1pu_DIG!$D$22</f>
        <v>0.57781145279831869</v>
      </c>
      <c r="U8" s="40">
        <f>'V_0,98pu_DIG'!$P$19/V_1pu_DIG!$D$22</f>
        <v>0.57067978711830736</v>
      </c>
      <c r="V8" s="40">
        <f>'V_0,98pu_DIG'!$P$20/V_1pu_DIG!$D$22</f>
        <v>0.52865668998606452</v>
      </c>
      <c r="W8" s="40">
        <f>'V_0,98pu_DIG'!$P$21/V_1pu_DIG!$D$22</f>
        <v>0.49889668354447086</v>
      </c>
      <c r="X8" s="40">
        <f>'V_0,98pu_DIG'!$P$22/V_1pu_DIG!$D$22</f>
        <v>0.46618126327874032</v>
      </c>
      <c r="Y8" s="40">
        <f>'V_0,98pu_DIG'!$P$23/V_1pu_DIG!$D$22</f>
        <v>0.42962080598881897</v>
      </c>
      <c r="Z8" s="41">
        <f>'V_0,98pu_DIG'!$P$24/V_1pu_DIG!$D$22</f>
        <v>0.38773275055778622</v>
      </c>
      <c r="AA8" s="41">
        <f>'V_0,98pu_DIG'!$P$25/V_1pu_DIG!$D$22</f>
        <v>0.33766916646071665</v>
      </c>
      <c r="AB8" s="41">
        <f>'V_0,98pu_DIG'!$P$26/V_1pu_DIG!$D$22</f>
        <v>0.27228464508314326</v>
      </c>
      <c r="AC8" s="41">
        <f>'V_0,98pu_DIG'!$P$27/V_1pu_DIG!$D$22</f>
        <v>0.14472174853076442</v>
      </c>
      <c r="AD8" s="41">
        <f>'V_0,98pu_DIG'!$P$28/V_1pu_DIG!$D$22</f>
        <v>0.10401430066051739</v>
      </c>
      <c r="AE8" s="41">
        <f>'V_0,98pu_DIG'!$P$29/V_1pu_DIG!$D$22</f>
        <v>0.10401430066051739</v>
      </c>
      <c r="AF8" s="41">
        <f>'V_0,98pu_DIG'!$P$30/V_1pu_DIG!$D$22</f>
        <v>0.10401430066051739</v>
      </c>
      <c r="AG8" s="41">
        <f>'V_0,98pu_DIG'!$P$31/V_1pu_DIG!$D$22</f>
        <v>0.10401430066051739</v>
      </c>
      <c r="AH8" s="41">
        <f>'V_0,98pu_DIG'!$P$32/V_1pu_DIG!$D$22</f>
        <v>0.10401430066051739</v>
      </c>
      <c r="AI8" s="41">
        <f>'V_0,98pu_DIG'!$P$33/V_1pu_DIG!$D$22</f>
        <v>0.10401430066051739</v>
      </c>
      <c r="AJ8" s="41">
        <f>'V_0,98pu_DIG'!$P$34/V_1pu_DIG!$D$22</f>
        <v>0.10401430066051739</v>
      </c>
      <c r="AK8" s="41">
        <f>'V_0,98pu_DIG'!$P$35/V_1pu_DIG!$D$22</f>
        <v>0.10401430066051739</v>
      </c>
      <c r="AL8" s="41">
        <f>'V_0,98pu_DIG'!$P$36/V_1pu_DIG!$D$22</f>
        <v>0.10401430066051739</v>
      </c>
    </row>
    <row r="9" spans="1:38">
      <c r="A9">
        <v>6</v>
      </c>
      <c r="C9" s="29">
        <v>0.33</v>
      </c>
      <c r="E9" s="36">
        <v>1</v>
      </c>
      <c r="F9" s="39">
        <f>V_1pu_DIG!$P$4/V_1pu_DIG!$D$22</f>
        <v>0.52244680916220754</v>
      </c>
      <c r="G9" s="40">
        <f>V_1pu_DIG!$P$5/V_1pu_DIG!$D$22</f>
        <v>0.52220780675534539</v>
      </c>
      <c r="H9" s="40">
        <f>V_1pu_DIG!$P$6/V_1pu_DIG!$D$22</f>
        <v>0.52149074536958673</v>
      </c>
      <c r="I9" s="40">
        <f>V_1pu_DIG!$P$7/V_1pu_DIG!$D$22</f>
        <v>0.52029546244802938</v>
      </c>
      <c r="J9" s="40">
        <f>V_1pu_DIG!$P$8/V_1pu_DIG!$D$22</f>
        <v>0.51862168685768761</v>
      </c>
      <c r="K9" s="40">
        <f>V_1pu_DIG!$P$9/V_1pu_DIG!$D$22</f>
        <v>0.51646903858169846</v>
      </c>
      <c r="L9" s="40">
        <f>V_1pu_DIG!$P$10/V_1pu_DIG!$D$22</f>
        <v>0.51383702828726696</v>
      </c>
      <c r="M9" s="40">
        <f>V_1pu_DIG!$P$11/V_1pu_DIG!$D$22</f>
        <v>0.51072505676822355</v>
      </c>
      <c r="N9" s="40">
        <f>V_1pu_DIG!$P$12/V_1pu_DIG!$D$22</f>
        <v>0.50713241426065292</v>
      </c>
      <c r="O9" s="40">
        <f>V_1pu_DIG!$P$13/V_1pu_DIG!$D$22</f>
        <v>0.50305827962984118</v>
      </c>
      <c r="P9" s="40">
        <f>V_1pu_DIG!$P$14/V_1pu_DIG!$D$22</f>
        <v>0.49850171942629101</v>
      </c>
      <c r="Q9" s="40">
        <f>V_1pu_DIG!$P$15/V_1pu_DIG!$D$22</f>
        <v>0.49346168680828789</v>
      </c>
      <c r="R9" s="40">
        <f>V_1pu_DIG!$P$16/V_1pu_DIG!$D$22</f>
        <v>0.48793702032810216</v>
      </c>
      <c r="S9" s="40">
        <f>V_1pu_DIG!$P$17/V_1pu_DIG!$D$22</f>
        <v>0.48192644257848299</v>
      </c>
      <c r="T9" s="40">
        <f>V_1pu_DIG!$P$18/V_1pu_DIG!$D$22</f>
        <v>0.47542855869575401</v>
      </c>
      <c r="U9" s="40">
        <f>V_1pu_DIG!$P$19/V_1pu_DIG!$D$22</f>
        <v>0.4684418547153294</v>
      </c>
      <c r="V9" s="40">
        <f>V_1pu_DIG!$P$20/V_1pu_DIG!$D$22</f>
        <v>0.46096469577509641</v>
      </c>
      <c r="W9" s="40">
        <f>V_1pu_DIG!$P$21/V_1pu_DIG!$D$22</f>
        <v>0.45901856919942624</v>
      </c>
      <c r="X9" s="40">
        <f>V_1pu_DIG!$P$22/V_1pu_DIG!$D$22</f>
        <v>0.45704165126520269</v>
      </c>
      <c r="Y9" s="40">
        <f>V_1pu_DIG!$P$23/V_1pu_DIG!$D$22</f>
        <v>0.45503391280564948</v>
      </c>
      <c r="Z9" s="41">
        <f>V_1pu_DIG!$P$24/V_1pu_DIG!$D$22</f>
        <v>0.4529953241615543</v>
      </c>
      <c r="AA9" s="41">
        <f>V_1pu_DIG!$P$25/V_1pu_DIG!$D$22</f>
        <v>0.41483277859733303</v>
      </c>
      <c r="AB9" s="41">
        <f>V_1pu_DIG!$P$26/V_1pu_DIG!$D$22</f>
        <v>0.36845835370565577</v>
      </c>
      <c r="AC9" s="41">
        <f>V_1pu_DIG!$P$27/V_1pu_DIG!$D$22</f>
        <v>0.31084431338696178</v>
      </c>
      <c r="AD9" s="41">
        <f>V_1pu_DIG!$P$28/V_1pu_DIG!$D$22</f>
        <v>0.22656976909981871</v>
      </c>
      <c r="AE9" s="41">
        <f>V_1pu_DIG!$P$29/V_1pu_DIG!$D$22</f>
        <v>0.10830310356155498</v>
      </c>
      <c r="AF9" s="41">
        <f>V_1pu_DIG!$P$30/V_1pu_DIG!$D$22</f>
        <v>0.10830310356155498</v>
      </c>
      <c r="AG9" s="41">
        <f>V_1pu_DIG!$P$31/V_1pu_DIG!$D$22</f>
        <v>0.10830310356155498</v>
      </c>
      <c r="AH9" s="41">
        <f>V_1pu_DIG!$P$32/V_1pu_DIG!$D$22</f>
        <v>0.10830310356155498</v>
      </c>
      <c r="AI9" s="41">
        <f>V_1pu_DIG!$P$33/V_1pu_DIG!$D$22</f>
        <v>0.10830310356155498</v>
      </c>
      <c r="AJ9" s="41">
        <f>V_1pu_DIG!$P$34/V_1pu_DIG!$D$22</f>
        <v>0.10830310356155498</v>
      </c>
      <c r="AK9" s="41">
        <f>V_1pu_DIG!$P$35/V_1pu_DIG!$D$22</f>
        <v>0.10830310356155498</v>
      </c>
      <c r="AL9" s="41">
        <f>V_1pu_DIG!$P$36/V_1pu_DIG!$D$22</f>
        <v>0.10830310356155498</v>
      </c>
    </row>
    <row r="10" spans="1:38">
      <c r="A10">
        <v>7</v>
      </c>
      <c r="C10" s="29">
        <v>0.38500000000000001</v>
      </c>
      <c r="E10" s="36">
        <v>1.02</v>
      </c>
      <c r="F10" s="39">
        <f>'V_1,02pu_DIG'!$P$4/V_1pu_DIG!$D$22</f>
        <v>0.41445210411778277</v>
      </c>
      <c r="G10" s="40">
        <f>'V_1,02pu_DIG'!$P$5/V_1pu_DIG!$D$22</f>
        <v>0.41421778820444183</v>
      </c>
      <c r="H10" s="40">
        <f>'V_1,02pu_DIG'!$P$6/V_1pu_DIG!$D$22</f>
        <v>0.41351478942374365</v>
      </c>
      <c r="I10" s="40">
        <f>'V_1,02pu_DIG'!$P$7/V_1pu_DIG!$D$22</f>
        <v>0.41234295459805786</v>
      </c>
      <c r="J10" s="40">
        <f>'V_1,02pu_DIG'!$P$8/V_1pu_DIG!$D$22</f>
        <v>0.41070202824584118</v>
      </c>
      <c r="K10" s="40">
        <f>'V_1,02pu_DIG'!$P$9/V_1pu_DIG!$D$22</f>
        <v>0.40859165230288702</v>
      </c>
      <c r="L10" s="40">
        <f>'V_1,02pu_DIG'!$P$10/V_1pu_DIG!$D$22</f>
        <v>0.40601136573110336</v>
      </c>
      <c r="M10" s="40">
        <f>'V_1,02pu_DIG'!$P$11/V_1pu_DIG!$D$22</f>
        <v>0.40296060401378903</v>
      </c>
      <c r="N10" s="40">
        <f>'V_1,02pu_DIG'!$P$12/V_1pu_DIG!$D$22</f>
        <v>0.39943869853612551</v>
      </c>
      <c r="O10" s="40">
        <f>'V_1,02pu_DIG'!$P$13/V_1pu_DIG!$D$22</f>
        <v>0.39544487584931398</v>
      </c>
      <c r="P10" s="40">
        <f>'V_1,02pu_DIG'!$P$14/V_1pu_DIG!$D$22</f>
        <v>0.39097825681642112</v>
      </c>
      <c r="Q10" s="40">
        <f>'V_1,02pu_DIG'!$P$15/V_1pu_DIG!$D$22</f>
        <v>0.38603785563775012</v>
      </c>
      <c r="R10" s="40">
        <f>'V_1,02pu_DIG'!$P$16/V_1pu_DIG!$D$22</f>
        <v>0.38062257875318362</v>
      </c>
      <c r="S10" s="40">
        <f>'V_1,02pu_DIG'!$P$17/V_1pu_DIG!$D$22</f>
        <v>0.37473122361862971</v>
      </c>
      <c r="T10" s="40">
        <f>'V_1,02pu_DIG'!$P$18/V_1pu_DIG!$D$22</f>
        <v>0.36836247735332944</v>
      </c>
      <c r="U10" s="40">
        <f>'V_1,02pu_DIG'!$P$19/V_1pu_DIG!$D$22</f>
        <v>0.36151491525444135</v>
      </c>
      <c r="V10" s="40">
        <f>'V_1,02pu_DIG'!$P$20/V_1pu_DIG!$D$22</f>
        <v>0.35418699917491636</v>
      </c>
      <c r="W10" s="40">
        <f>'V_1,02pu_DIG'!$P$21/V_1pu_DIG!$D$22</f>
        <v>0.35227977365114366</v>
      </c>
      <c r="X10" s="40">
        <f>'V_1,02pu_DIG'!$P$22/V_1pu_DIG!$D$22</f>
        <v>0.35034239627061586</v>
      </c>
      <c r="Y10" s="40">
        <f>'V_1,02pu_DIG'!$P$23/V_1pu_DIG!$D$22</f>
        <v>0.34837483960391658</v>
      </c>
      <c r="Z10" s="41">
        <f>'V_1,02pu_DIG'!$P$24/V_1pu_DIG!$D$22</f>
        <v>0.34637707576028326</v>
      </c>
      <c r="AA10" s="41">
        <f>'V_1,02pu_DIG'!$P$25/V_1pu_DIG!$D$22</f>
        <v>0.34434907638558571</v>
      </c>
      <c r="AB10" s="41">
        <f>'V_1,02pu_DIG'!$P$26/V_1pu_DIG!$D$22</f>
        <v>0.34229081266025196</v>
      </c>
      <c r="AC10" s="41">
        <f>'V_1,02pu_DIG'!$P$27/V_1pu_DIG!$D$22</f>
        <v>0.3402022552971663</v>
      </c>
      <c r="AD10" s="41">
        <f>'V_1,02pu_DIG'!$P$28/V_1pu_DIG!$D$22</f>
        <v>0.33808337453952514</v>
      </c>
      <c r="AE10" s="41">
        <f>'V_1,02pu_DIG'!$P$29/V_1pu_DIG!$D$22</f>
        <v>0.27618407376436666</v>
      </c>
      <c r="AF10" s="41">
        <f>'V_1,02pu_DIG'!$P$30/V_1pu_DIG!$D$22</f>
        <v>0.11267854894544181</v>
      </c>
      <c r="AG10" s="41">
        <f>'V_1,02pu_DIG'!$P$31/V_1pu_DIG!$D$22</f>
        <v>0.11267854894544181</v>
      </c>
      <c r="AH10" s="41">
        <f>'V_1,02pu_DIG'!$P$32/V_1pu_DIG!$D$22</f>
        <v>0.11267854894544181</v>
      </c>
      <c r="AI10" s="41">
        <f>'V_1,02pu_DIG'!$P$33/V_1pu_DIG!$D$22</f>
        <v>0.11267854894544181</v>
      </c>
      <c r="AJ10" s="41">
        <f>'V_1,02pu_DIG'!$P$34/V_1pu_DIG!$D$22</f>
        <v>0.11267854894544181</v>
      </c>
      <c r="AK10" s="41">
        <f>'V_1,02pu_DIG'!$P$35/V_1pu_DIG!$D$22</f>
        <v>0.11267854894544181</v>
      </c>
      <c r="AL10" s="41">
        <f>'V_1,02pu_DIG'!$P$36/V_1pu_DIG!$D$22</f>
        <v>0.11267854894544181</v>
      </c>
    </row>
    <row r="11" spans="1:38">
      <c r="A11">
        <v>8</v>
      </c>
      <c r="C11" s="29">
        <v>0.44</v>
      </c>
      <c r="E11" s="36">
        <v>1.04</v>
      </c>
      <c r="F11" s="39">
        <f>'V_1,04pu_DIG'!$P$4/V_1pu_DIG!$D$22</f>
        <v>0.30181255039776056</v>
      </c>
      <c r="G11" s="40">
        <f>'V_1,04pu_DIG'!$P$5/V_1pu_DIG!$D$22</f>
        <v>0.30158274071856067</v>
      </c>
      <c r="H11" s="40">
        <f>'V_1,04pu_DIG'!$P$6/V_1pu_DIG!$D$22</f>
        <v>0.30089326352901125</v>
      </c>
      <c r="I11" s="40">
        <f>'V_1,04pu_DIG'!$P$7/V_1pu_DIG!$D$22</f>
        <v>0.29974397432279526</v>
      </c>
      <c r="J11" s="40">
        <f>'V_1,04pu_DIG'!$P$8/V_1pu_DIG!$D$22</f>
        <v>0.29813463208772678</v>
      </c>
      <c r="K11" s="40">
        <f>'V_1,04pu_DIG'!$P$9/V_1pu_DIG!$D$22</f>
        <v>0.29606489905283367</v>
      </c>
      <c r="L11" s="40">
        <f>'V_1,04pu_DIG'!$P$10/V_1pu_DIG!$D$22</f>
        <v>0.29353434033339609</v>
      </c>
      <c r="M11" s="40">
        <f>'V_1,04pu_DIG'!$P$11/V_1pu_DIG!$D$22</f>
        <v>0.29054242347309239</v>
      </c>
      <c r="N11" s="40">
        <f>'V_1,04pu_DIG'!$P$12/V_1pu_DIG!$D$22</f>
        <v>0.28708851788209927</v>
      </c>
      <c r="O11" s="40">
        <f>'V_1,04pu_DIG'!$P$13/V_1pu_DIG!$D$22</f>
        <v>0.28317189416977245</v>
      </c>
      <c r="P11" s="40">
        <f>'V_1,04pu_DIG'!$P$14/V_1pu_DIG!$D$22</f>
        <v>0.27879172337025815</v>
      </c>
      <c r="Q11" s="40">
        <f>'V_1,04pu_DIG'!$P$15/V_1pu_DIG!$D$22</f>
        <v>0.27394707605908497</v>
      </c>
      <c r="R11" s="40">
        <f>'V_1,04pu_DIG'!$P$16/V_1pu_DIG!$D$22</f>
        <v>0.26863692135854922</v>
      </c>
      <c r="S11" s="40">
        <f>'V_1,04pu_DIG'!$P$17/V_1pu_DIG!$D$22</f>
        <v>0.26286012582937096</v>
      </c>
      <c r="T11" s="40">
        <f>'V_1,04pu_DIG'!$P$18/V_1pu_DIG!$D$22</f>
        <v>0.25661545224582211</v>
      </c>
      <c r="U11" s="40">
        <f>'V_1,04pu_DIG'!$P$19/V_1pu_DIG!$D$22</f>
        <v>0.2499015582511826</v>
      </c>
      <c r="V11" s="40">
        <f>'V_1,04pu_DIG'!$P$20/V_1pu_DIG!$D$22</f>
        <v>0.24271699489009749</v>
      </c>
      <c r="W11" s="40">
        <f>'V_1,04pu_DIG'!$P$21/V_1pu_DIG!$D$22</f>
        <v>0.24084713188435181</v>
      </c>
      <c r="X11" s="40">
        <f>'V_1,04pu_DIG'!$P$22/V_1pu_DIG!$D$22</f>
        <v>0.23894772986077489</v>
      </c>
      <c r="Y11" s="40">
        <f>'V_1,04pu_DIG'!$P$23/V_1pu_DIG!$D$22</f>
        <v>0.23701876299104585</v>
      </c>
      <c r="Z11" s="41">
        <f>'V_1,04pu_DIG'!$P$24/V_1pu_DIG!$D$22</f>
        <v>0.23506020501398597</v>
      </c>
      <c r="AA11" s="41">
        <f>'V_1,04pu_DIG'!$P$25/V_1pu_DIG!$D$22</f>
        <v>0.23307202923373241</v>
      </c>
      <c r="AB11" s="41">
        <f>'V_1,04pu_DIG'!$P$26/V_1pu_DIG!$D$22</f>
        <v>0.23105420851786451</v>
      </c>
      <c r="AC11" s="41">
        <f>'V_1,04pu_DIG'!$P$27/V_1pu_DIG!$D$22</f>
        <v>0.22900671529550071</v>
      </c>
      <c r="AD11" s="41">
        <f>'V_1,04pu_DIG'!$P$28/V_1pu_DIG!$D$22</f>
        <v>0.22692952155537235</v>
      </c>
      <c r="AE11" s="41">
        <f>'V_1,04pu_DIG'!$P$29/V_1pu_DIG!$D$22</f>
        <v>0.22482259884383743</v>
      </c>
      <c r="AF11" s="41">
        <f>'V_1,04pu_DIG'!$P$30/V_1pu_DIG!$D$22</f>
        <v>0.22268591826288608</v>
      </c>
      <c r="AG11" s="41">
        <f>'V_1,04pu_DIG'!$P$31/V_1pu_DIG!$D$22</f>
        <v>0.22543625638391684</v>
      </c>
      <c r="AH11" s="41">
        <f>'V_1,04pu_DIG'!$P$32/V_1pu_DIG!$D$22</f>
        <v>0.1171406368121779</v>
      </c>
      <c r="AI11" s="41">
        <f>'V_1,04pu_DIG'!$P$33/V_1pu_DIG!$D$22</f>
        <v>0.1171406368121779</v>
      </c>
      <c r="AJ11" s="41">
        <f>'V_1,04pu_DIG'!$P$34/V_1pu_DIG!$D$22</f>
        <v>0.1171406368121779</v>
      </c>
      <c r="AK11" s="41">
        <f>'V_1,04pu_DIG'!$P$35/V_1pu_DIG!$D$22</f>
        <v>0.1171406368121779</v>
      </c>
      <c r="AL11" s="41">
        <f>'V_1,04pu_DIG'!$P$36/V_1pu_DIG!$D$22</f>
        <v>0.1171406368121779</v>
      </c>
    </row>
    <row r="12" spans="1:38">
      <c r="A12">
        <v>9</v>
      </c>
      <c r="C12" s="29">
        <v>0.495</v>
      </c>
      <c r="E12" s="36">
        <v>1.06</v>
      </c>
      <c r="F12" s="39">
        <f>'V_1,06pu_DIG'!$P$4/V_1pu_DIG!$D$22</f>
        <v>0.18452814800214368</v>
      </c>
      <c r="G12" s="40">
        <f>'V_1,06pu_DIG'!$P$5/V_1pu_DIG!$D$22</f>
        <v>0.18430267450177529</v>
      </c>
      <c r="H12" s="40">
        <f>'V_1,06pu_DIG'!$P$6/V_1pu_DIG!$D$22</f>
        <v>0.1836262085234921</v>
      </c>
      <c r="I12" s="40">
        <f>'V_1,06pu_DIG'!$P$7/V_1pu_DIG!$D$22</f>
        <v>0.18249861358989325</v>
      </c>
      <c r="J12" s="40">
        <f>'V_1,06pu_DIG'!$P$8/V_1pu_DIG!$D$22</f>
        <v>0.18091966208561633</v>
      </c>
      <c r="K12" s="40">
        <f>'V_1,06pu_DIG'!$P$9/V_1pu_DIG!$D$22</f>
        <v>0.17888903502742351</v>
      </c>
      <c r="L12" s="40">
        <f>'V_1,06pu_DIG'!$P$10/V_1pu_DIG!$D$22</f>
        <v>0.17640632174155538</v>
      </c>
      <c r="M12" s="40">
        <f>'V_1,06pu_DIG'!$P$11/V_1pu_DIG!$D$22</f>
        <v>0.17347101944760773</v>
      </c>
      <c r="N12" s="40">
        <f>'V_1,06pu_DIG'!$P$12/V_1pu_DIG!$D$22</f>
        <v>0.17008253274791627</v>
      </c>
      <c r="O12" s="40">
        <f>'V_1,06pu_DIG'!$P$13/V_1pu_DIG!$D$22</f>
        <v>0.16624017302127925</v>
      </c>
      <c r="P12" s="40">
        <f>'V_1,06pu_DIG'!$P$14/V_1pu_DIG!$D$22</f>
        <v>0.16194315771951687</v>
      </c>
      <c r="Q12" s="40">
        <f>'V_1,06pu_DIG'!$P$15/V_1pu_DIG!$D$22</f>
        <v>0.15719060956523559</v>
      </c>
      <c r="R12" s="40">
        <f>'V_1,06pu_DIG'!$P$16/V_1pu_DIG!$D$22</f>
        <v>0.15198155564882473</v>
      </c>
      <c r="S12" s="40">
        <f>'V_1,06pu_DIG'!$P$17/V_1pu_DIG!$D$22</f>
        <v>0.14631492642251959</v>
      </c>
      <c r="T12" s="40">
        <f>'V_1,06pu_DIG'!$P$18/V_1pu_DIG!$D$22</f>
        <v>0.14018955458908128</v>
      </c>
      <c r="U12" s="40">
        <f>'V_1,06pu_DIG'!$P$19/V_1pu_DIG!$D$22</f>
        <v>0.13360417388233772</v>
      </c>
      <c r="V12" s="40">
        <f>'V_1,06pu_DIG'!$P$20/V_1pu_DIG!$D$22</f>
        <v>0.12655741773662546</v>
      </c>
      <c r="W12" s="40">
        <f>'V_1,06pu_DIG'!$P$21/V_1pu_DIG!$D$22</f>
        <v>0.12472346897767803</v>
      </c>
      <c r="X12" s="40">
        <f>'V_1,06pu_DIG'!$P$22/V_1pu_DIG!$D$22</f>
        <v>0.12286056904353389</v>
      </c>
      <c r="Y12" s="40">
        <f>'V_1,06pu_DIG'!$P$23/V_1pu_DIG!$D$22</f>
        <v>0.12096869358389377</v>
      </c>
      <c r="Z12" s="41">
        <f>'V_1,06pu_DIG'!$P$24/V_1pu_DIG!$D$22</f>
        <v>0.11904781784175776</v>
      </c>
      <c r="AA12" s="41">
        <f>'V_1,06pu_DIG'!$P$25/V_1pu_DIG!$D$22</f>
        <v>0.11709791665176392</v>
      </c>
      <c r="AB12" s="41">
        <f>'V_1,06pu_DIG'!$P$26/V_1pu_DIG!$D$22</f>
        <v>0.11511896443850471</v>
      </c>
      <c r="AC12" s="41">
        <f>'V_1,06pu_DIG'!$P$27/V_1pu_DIG!$D$22</f>
        <v>0.11311093521479487</v>
      </c>
      <c r="AD12" s="41">
        <f>'V_1,06pu_DIG'!$P$28/V_1pu_DIG!$D$22</f>
        <v>0.11107380257992817</v>
      </c>
      <c r="AE12" s="41">
        <f>'V_1,06pu_DIG'!$P$29/V_1pu_DIG!$D$22</f>
        <v>0.10900753971788697</v>
      </c>
      <c r="AF12" s="41">
        <f>'V_1,06pu_DIG'!$P$30/V_1pu_DIG!$D$22</f>
        <v>0.10691211939552958</v>
      </c>
      <c r="AG12" s="41">
        <f>'V_1,06pu_DIG'!$P$31/V_1pu_DIG!$D$22</f>
        <v>0.10478751396074569</v>
      </c>
      <c r="AH12" s="41">
        <f>'V_1,06pu_DIG'!$P$32/V_1pu_DIG!$D$22</f>
        <v>0.10263369534057018</v>
      </c>
      <c r="AI12" s="41">
        <f>'V_1,06pu_DIG'!$P$33/V_1pu_DIG!$D$22</f>
        <v>0.10045063503927609</v>
      </c>
      <c r="AJ12" s="41">
        <f>'V_1,06pu_DIG'!$P$34/V_1pu_DIG!$D$22</f>
        <v>9.823830413642598E-2</v>
      </c>
      <c r="AK12" s="41">
        <f>'V_1,06pu_DIG'!$P$35/V_1pu_DIG!$D$22</f>
        <v>9.5996673284895487E-2</v>
      </c>
      <c r="AL12" s="41">
        <f>'V_1,06pu_DIG'!$P$36/V_1pu_DIG!$D$22</f>
        <v>9.3725712708859418E-2</v>
      </c>
    </row>
    <row r="13" spans="1:38">
      <c r="A13">
        <v>10</v>
      </c>
      <c r="C13" s="29">
        <v>0.55000000000000004</v>
      </c>
      <c r="E13" s="36">
        <v>1.08</v>
      </c>
      <c r="F13" s="39">
        <f>'V_1,08pu_DIG'!$P$4/V_1pu_DIG!$D$22</f>
        <v>6.2598896930933554E-2</v>
      </c>
      <c r="G13" s="40">
        <f>'V_1,08pu_DIG'!$P$5/V_1pu_DIG!$D$22</f>
        <v>6.2377599002229431E-2</v>
      </c>
      <c r="H13" s="40">
        <f>'V_1,08pu_DIG'!$P$6/V_1pu_DIG!$D$22</f>
        <v>6.1713662219216939E-2</v>
      </c>
      <c r="I13" s="40">
        <f>'V_1,08pu_DIG'!$P$7/V_1pu_DIG!$D$22</f>
        <v>6.0606957549420248E-2</v>
      </c>
      <c r="J13" s="40">
        <f>'V_1,08pu_DIG'!$P$8/V_1pu_DIG!$D$22</f>
        <v>5.9057269799340839E-2</v>
      </c>
      <c r="K13" s="40">
        <f>'V_1,08pu_DIG'!$P$9/V_1pu_DIG!$D$22</f>
        <v>5.7064297405090468E-2</v>
      </c>
      <c r="L13" s="40">
        <f>'V_1,08pu_DIG'!$P$10/V_1pu_DIG!$D$22</f>
        <v>5.4627652138580896E-2</v>
      </c>
      <c r="M13" s="40">
        <f>'V_1,08pu_DIG'!$P$11/V_1pu_DIG!$D$22</f>
        <v>5.1746858728652624E-2</v>
      </c>
      <c r="N13" s="40">
        <f>'V_1,08pu_DIG'!$P$12/V_1pu_DIG!$D$22</f>
        <v>4.8421354396232338E-2</v>
      </c>
      <c r="O13" s="40">
        <f>'V_1,08pu_DIG'!$P$13/V_1pu_DIG!$D$22</f>
        <v>4.4650488302487683E-2</v>
      </c>
      <c r="P13" s="40">
        <f>'V_1,08pu_DIG'!$P$14/V_1pu_DIG!$D$22</f>
        <v>4.0433520908698332E-2</v>
      </c>
      <c r="Q13" s="40">
        <f>'V_1,08pu_DIG'!$P$15/V_1pu_DIG!$D$22</f>
        <v>3.5769623246362466E-2</v>
      </c>
      <c r="R13" s="40">
        <f>'V_1,08pu_DIG'!$P$16/V_1pu_DIG!$D$22</f>
        <v>3.0657876095856455E-2</v>
      </c>
      <c r="S13" s="40">
        <f>'V_1,08pu_DIG'!$P$17/V_1pu_DIG!$D$22</f>
        <v>2.5097269071729648E-2</v>
      </c>
      <c r="T13" s="40">
        <f>'V_1,08pu_DIG'!$P$18/V_1pu_DIG!$D$22</f>
        <v>1.9086699612488468E-2</v>
      </c>
      <c r="U13" s="40">
        <f>'V_1,08pu_DIG'!$P$19/V_1pu_DIG!$D$22</f>
        <v>1.2624971872484006E-2</v>
      </c>
      <c r="V13" s="40">
        <f>'V_1,08pu_DIG'!$P$20/V_1pu_DIG!$D$22</f>
        <v>5.710795513279905E-3</v>
      </c>
      <c r="W13" s="40">
        <f>'V_1,08pu_DIG'!$P$21/V_1pu_DIG!$D$22</f>
        <v>3.9113960129594349E-3</v>
      </c>
      <c r="X13" s="40">
        <f>'V_1,08pu_DIG'!$P$22/V_1pu_DIG!$D$22</f>
        <v>2.0836097121271937E-3</v>
      </c>
      <c r="Y13" s="40">
        <f>'V_1,08pu_DIG'!$P$23/V_1pu_DIG!$D$22</f>
        <v>2.274136271100919E-4</v>
      </c>
      <c r="Z13" s="41">
        <f>'V_1,08pu_DIG'!$P$24/V_1pu_DIG!$D$22</f>
        <v>-1.6572156084057941E-3</v>
      </c>
      <c r="AA13" s="41">
        <f>'V_1,08pu_DIG'!$P$25/V_1pu_DIG!$D$22</f>
        <v>-3.5703017448866841E-3</v>
      </c>
      <c r="AB13" s="41">
        <f>'V_1,08pu_DIG'!$P$26/V_1pu_DIG!$D$22</f>
        <v>-5.5118689184764334E-3</v>
      </c>
      <c r="AC13" s="41">
        <f>'V_1,08pu_DIG'!$P$27/V_1pu_DIG!$D$22</f>
        <v>-7.4819416525607335E-3</v>
      </c>
      <c r="AD13" s="41">
        <f>'V_1,08pu_DIG'!$P$28/V_1pu_DIG!$D$22</f>
        <v>-9.4805448593590722E-3</v>
      </c>
      <c r="AE13" s="41">
        <f>'V_1,08pu_DIG'!$P$29/V_1pu_DIG!$D$22</f>
        <v>-1.150770384154029E-2</v>
      </c>
      <c r="AF13" s="41">
        <f>'V_1,08pu_DIG'!$P$30/V_1pu_DIG!$D$22</f>
        <v>-1.3563444293867279E-2</v>
      </c>
      <c r="AG13" s="41">
        <f>'V_1,08pu_DIG'!$P$31/V_1pu_DIG!$D$22</f>
        <v>-1.5647792304870827E-2</v>
      </c>
      <c r="AH13" s="41">
        <f>'V_1,08pu_DIG'!$P$32/V_1pu_DIG!$D$22</f>
        <v>-1.7760774358558183E-2</v>
      </c>
      <c r="AI13" s="41">
        <f>'V_1,08pu_DIG'!$P$33/V_1pu_DIG!$D$22</f>
        <v>-1.9902417336138224E-2</v>
      </c>
      <c r="AJ13" s="41">
        <f>'V_1,08pu_DIG'!$P$34/V_1pu_DIG!$D$22</f>
        <v>-2.2072748517793891E-2</v>
      </c>
      <c r="AK13" s="41">
        <f>'V_1,08pu_DIG'!$P$35/V_1pu_DIG!$D$22</f>
        <v>-2.4271795584465641E-2</v>
      </c>
      <c r="AL13" s="41">
        <f>'V_1,08pu_DIG'!$P$36/V_1pu_DIG!$D$22</f>
        <v>-2.6499586619677995E-2</v>
      </c>
    </row>
    <row r="14" spans="1:38" ht="15.75" thickBot="1">
      <c r="A14">
        <v>11</v>
      </c>
      <c r="C14" s="29">
        <v>0.60499999999999998</v>
      </c>
      <c r="E14" s="36">
        <v>1.1000000000000001</v>
      </c>
      <c r="F14" s="39">
        <f>'V_1,1pu_DIG'!$P$4/V_1pu_DIG!$D$22</f>
        <v>-6.4192477019124158E-2</v>
      </c>
      <c r="G14" s="40">
        <f>'V_1,1pu_DIG'!$P$5/V_1pu_DIG!$D$22</f>
        <v>-6.4844340322637486E-2</v>
      </c>
      <c r="H14" s="40">
        <f>'V_1,1pu_DIG'!$P$6/V_1pu_DIG!$D$22</f>
        <v>-6.5930914845808458E-2</v>
      </c>
      <c r="I14" s="40">
        <f>'V_1,1pu_DIG'!$P$7/V_1pu_DIG!$D$22</f>
        <v>-6.7452404248103795E-2</v>
      </c>
      <c r="J14" s="40">
        <f>'V_1,1pu_DIG'!$P$8/V_1pu_DIG!$D$22</f>
        <v>-6.9409093920071274E-2</v>
      </c>
      <c r="K14" s="40">
        <f>'V_1,1pu_DIG'!$P$9/V_1pu_DIG!$D$22</f>
        <v>-7.1801351251327528E-2</v>
      </c>
      <c r="L14" s="40">
        <f>'V_1,1pu_DIG'!$P$10/V_1pu_DIG!$D$22</f>
        <v>-7.4629625976124395E-2</v>
      </c>
      <c r="M14" s="40">
        <f>'V_1,1pu_DIG'!$P$11/V_1pu_DIG!$D$22</f>
        <v>-7.7894450597258608E-2</v>
      </c>
      <c r="N14" s="40">
        <f>'V_1,1pu_DIG'!$P$12/V_1pu_DIG!$D$22</f>
        <v>-8.1596440889240729E-2</v>
      </c>
      <c r="O14" s="40">
        <f>'V_1,1pu_DIG'!$P$13/V_1pu_DIG!$D$22</f>
        <v>-8.5736296481850577E-2</v>
      </c>
      <c r="P14" s="40">
        <f>'V_1,1pu_DIG'!$P$14/V_1pu_DIG!$D$22</f>
        <v>-9.0314801525380739E-2</v>
      </c>
      <c r="Q14" s="40">
        <f>'V_1,1pu_DIG'!$P$15/V_1pu_DIG!$D$22</f>
        <v>-9.5332825439041008E-2</v>
      </c>
      <c r="R14" s="40">
        <f>'V_1,1pu_DIG'!$P$16/V_1pu_DIG!$D$22</f>
        <v>-0.1007913237441974</v>
      </c>
      <c r="S14" s="40">
        <f>'V_1,1pu_DIG'!$P$17/V_1pu_DIG!$D$22</f>
        <v>-0.10669133898436131</v>
      </c>
      <c r="T14" s="40">
        <f>'V_1,1pu_DIG'!$P$18/V_1pu_DIG!$D$22</f>
        <v>-0.11303400173397997</v>
      </c>
      <c r="U14" s="40">
        <f>'V_1,1pu_DIG'!$P$19/V_1pu_DIG!$D$22</f>
        <v>-0.1198205316983406</v>
      </c>
      <c r="V14" s="40">
        <f>'V_1,1pu_DIG'!$P$20/V_1pu_DIG!$D$22</f>
        <v>-0.12158666995816035</v>
      </c>
      <c r="W14" s="40">
        <f>'V_1,1pu_DIG'!$P$21/V_1pu_DIG!$D$22</f>
        <v>-0.12338065270743817</v>
      </c>
      <c r="X14" s="40">
        <f>'V_1,1pu_DIG'!$P$22/V_1pu_DIG!$D$22</f>
        <v>-0.12520250166425562</v>
      </c>
      <c r="Y14" s="40">
        <f>'V_1,1pu_DIG'!$P$23/V_1pu_DIG!$D$22</f>
        <v>-0.12705223890716427</v>
      </c>
      <c r="Z14" s="41">
        <f>'V_1,1pu_DIG'!$P$24/V_1pu_DIG!$D$22</f>
        <v>-0.12892988687655552</v>
      </c>
      <c r="AA14" s="41">
        <f>'V_1,1pu_DIG'!$P$25/V_1pu_DIG!$D$22</f>
        <v>-0.13083546837605547</v>
      </c>
      <c r="AB14" s="41">
        <f>'V_1,1pu_DIG'!$P$26/V_1pu_DIG!$D$22</f>
        <v>-0.13276900657394222</v>
      </c>
      <c r="AC14" s="41">
        <f>'V_1,1pu_DIG'!$P$27/V_1pu_DIG!$D$22</f>
        <v>-0.13473052500459173</v>
      </c>
      <c r="AD14" s="41">
        <f>'V_1,1pu_DIG'!$P$28/V_1pu_DIG!$D$22</f>
        <v>-0.13672004756994102</v>
      </c>
      <c r="AE14" s="41">
        <f>'V_1,1pu_DIG'!$P$29/V_1pu_DIG!$D$22</f>
        <v>-0.13873759854099249</v>
      </c>
      <c r="AF14" s="41">
        <f>'V_1,1pu_DIG'!$P$30/V_1pu_DIG!$D$22</f>
        <v>-0.14078320255932694</v>
      </c>
      <c r="AG14" s="41">
        <f>'V_1,1pu_DIG'!$P$31/V_1pu_DIG!$D$22</f>
        <v>-0.14285688463865506</v>
      </c>
      <c r="AH14" s="41">
        <f>'V_1,1pu_DIG'!$P$32/V_1pu_DIG!$D$22</f>
        <v>-0.14495867016638739</v>
      </c>
      <c r="AI14" s="41">
        <f>'V_1,1pu_DIG'!$P$33/V_1pu_DIG!$D$22</f>
        <v>-0.14708858490524007</v>
      </c>
      <c r="AJ14" s="41">
        <f>'V_1,1pu_DIG'!$P$34/V_1pu_DIG!$D$22</f>
        <v>-0.14924665499485731</v>
      </c>
      <c r="AK14" s="41">
        <f>'V_1,1pu_DIG'!$P$35/V_1pu_DIG!$D$22</f>
        <v>-0.15143290695346312</v>
      </c>
      <c r="AL14" s="41">
        <f>'V_1,1pu_DIG'!$P$36/V_1pu_DIG!$D$22</f>
        <v>0.13104675530948151</v>
      </c>
    </row>
    <row r="15" spans="1:38" ht="15.75" thickBot="1">
      <c r="A15">
        <v>12</v>
      </c>
      <c r="C15" s="29">
        <v>0.66</v>
      </c>
      <c r="E15" s="42" t="s">
        <v>77</v>
      </c>
      <c r="F15" s="187" t="s">
        <v>79</v>
      </c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</row>
    <row r="16" spans="1:38">
      <c r="A16">
        <v>13</v>
      </c>
      <c r="C16" s="29">
        <v>0.71499999999999997</v>
      </c>
      <c r="E16" s="35" t="s">
        <v>80</v>
      </c>
      <c r="F16" s="30">
        <v>0</v>
      </c>
      <c r="G16" s="30">
        <v>5.5E-2</v>
      </c>
      <c r="H16" s="30">
        <v>0.11</v>
      </c>
      <c r="I16" s="30">
        <v>0.16500000000000001</v>
      </c>
      <c r="J16" s="30">
        <v>0.22</v>
      </c>
      <c r="K16" s="30">
        <v>0.27500000000000002</v>
      </c>
      <c r="L16" s="30">
        <v>0.33</v>
      </c>
      <c r="M16" s="30">
        <v>0.38500000000000001</v>
      </c>
      <c r="N16" s="30">
        <v>0.44</v>
      </c>
      <c r="O16" s="30">
        <v>0.495</v>
      </c>
      <c r="P16" s="30">
        <v>0.55000000000000004</v>
      </c>
      <c r="Q16" s="30">
        <v>0.60499999999999998</v>
      </c>
      <c r="R16" s="30">
        <v>0.66</v>
      </c>
      <c r="S16" s="30">
        <v>0.71499999999999997</v>
      </c>
      <c r="T16" s="30">
        <v>0.77</v>
      </c>
      <c r="U16" s="30">
        <v>0.82499999999999996</v>
      </c>
      <c r="V16" s="30">
        <v>0.88</v>
      </c>
      <c r="W16" s="37">
        <v>0.89375000000000004</v>
      </c>
      <c r="X16" s="30">
        <v>0.90749999999999997</v>
      </c>
      <c r="Y16" s="37">
        <v>0.92125000000000001</v>
      </c>
      <c r="Z16" s="30">
        <v>0.93500000000000005</v>
      </c>
      <c r="AA16" s="37">
        <v>0.94874999999999998</v>
      </c>
      <c r="AB16" s="30">
        <v>0.96250000000000002</v>
      </c>
      <c r="AC16" s="37">
        <v>0.97624999999999995</v>
      </c>
      <c r="AD16" s="30">
        <v>0.99</v>
      </c>
      <c r="AE16" s="37">
        <v>1.0037499999999999</v>
      </c>
      <c r="AF16" s="30">
        <v>1.0175000000000001</v>
      </c>
      <c r="AG16" s="37">
        <v>1.03125</v>
      </c>
      <c r="AH16" s="30">
        <v>1.0449999999999999</v>
      </c>
      <c r="AI16" s="37">
        <v>1.0587500000000001</v>
      </c>
      <c r="AJ16" s="30">
        <v>1.0725</v>
      </c>
      <c r="AK16" s="37">
        <v>1.0862499999999999</v>
      </c>
      <c r="AL16" s="30">
        <v>1.1000000000000001</v>
      </c>
    </row>
    <row r="17" spans="1:38">
      <c r="A17">
        <v>14</v>
      </c>
      <c r="C17" s="29">
        <v>0.77</v>
      </c>
      <c r="E17" s="36">
        <v>0.9</v>
      </c>
      <c r="F17" s="29">
        <f>'V_0,9pu_DIG'!$P$68/V_1pu_DIG!$D$22</f>
        <v>-0.80960969292684626</v>
      </c>
      <c r="G17" s="29">
        <f>'V_0,9pu_DIG'!$P$67/V_1pu_DIG!$D$22</f>
        <v>-0.80792256063091072</v>
      </c>
      <c r="H17" s="29">
        <f>'V_0,9pu_DIG'!$P$66/V_1pu_DIG!$D$22</f>
        <v>-0.80284198686048369</v>
      </c>
      <c r="I17" s="29">
        <f>'V_0,9pu_DIG'!$P$65/V_1pu_DIG!$D$22</f>
        <v>-0.79430933428374151</v>
      </c>
      <c r="J17" s="29">
        <f>'V_0,9pu_DIG'!$P$64/V_1pu_DIG!$D$22</f>
        <v>-0.78222303251533254</v>
      </c>
      <c r="K17" s="29">
        <f>'V_0,9pu_DIG'!$P$63/V_1pu_DIG!$D$22</f>
        <v>-0.76643224284618316</v>
      </c>
      <c r="L17" s="29">
        <f>'V_0,9pu_DIG'!$P$62/V_1pu_DIG!$D$22</f>
        <v>-0.7467266856950846</v>
      </c>
      <c r="M17" s="29">
        <f>'V_0,9pu_DIG'!$P$61/V_1pu_DIG!$D$22</f>
        <v>-0.72282089032887031</v>
      </c>
      <c r="N17" s="29">
        <f>'V_0,9pu_DIG'!$P$60/V_1pu_DIG!$D$22</f>
        <v>-0.69432977404803786</v>
      </c>
      <c r="O17" s="29">
        <f>'V_0,9pu_DIG'!$P$59/V_1pu_DIG!$D$22</f>
        <v>-0.66072987782783776</v>
      </c>
      <c r="P17" s="29">
        <f>'V_0,9pu_DIG'!$P$58/V_1pu_DIG!$D$22</f>
        <v>-0.62129527098946791</v>
      </c>
      <c r="Q17" s="29">
        <f>'V_0,9pu_DIG'!$P$57/V_1pu_DIG!$D$22</f>
        <v>-0.5749851872387961</v>
      </c>
      <c r="R17" s="29">
        <f>'V_0,9pu_DIG'!$P$56/V_1pu_DIG!$D$22</f>
        <v>-0.52023046592273081</v>
      </c>
      <c r="S17" s="29">
        <f>'V_0,9pu_DIG'!$P$55/V_1pu_DIG!$D$22</f>
        <v>-0.45447875886094552</v>
      </c>
      <c r="T17" s="29">
        <f>'V_0,9pu_DIG'!$P$54/V_1pu_DIG!$D$22</f>
        <v>-0.37304609264467403</v>
      </c>
      <c r="U17" s="29">
        <f>'V_0,9pu_DIG'!$P$53/V_1pu_DIG!$D$22</f>
        <v>-0.26524116072310877</v>
      </c>
      <c r="V17" s="29">
        <f>'V_0,9pu_DIG'!$P$52/V_1pu_DIG!$D$22</f>
        <v>-8.7803610148183553E-2</v>
      </c>
      <c r="W17" s="29">
        <f>'V_0,9pu_DIG'!$P$51/V_1pu_DIG!$D$22</f>
        <v>7.5918075946382439E-3</v>
      </c>
      <c r="X17" s="29">
        <f>'V_0,9pu_DIG'!$P$50/V_1pu_DIG!$D$22</f>
        <v>8.7725513884859524E-2</v>
      </c>
      <c r="Y17" s="29">
        <f>'V_0,9pu_DIG'!$P$49/V_1pu_DIG!$D$22</f>
        <v>8.7725513884859524E-2</v>
      </c>
      <c r="Z17" s="29">
        <f>'V_0,9pu_DIG'!$P$48/V_1pu_DIG!$D$22</f>
        <v>8.7725513884859524E-2</v>
      </c>
      <c r="AA17" s="29">
        <f>'V_0,9pu_DIG'!$P$47/V_1pu_DIG!$D$22</f>
        <v>8.7725513884859524E-2</v>
      </c>
      <c r="AB17" s="29">
        <f>'V_0,9pu_DIG'!$P$46/V_1pu_DIG!$D$22</f>
        <v>8.7725513884859524E-2</v>
      </c>
      <c r="AC17" s="29">
        <f>'V_0,9pu_DIG'!$P$45/V_1pu_DIG!$D$22</f>
        <v>8.7725513884859524E-2</v>
      </c>
      <c r="AD17" s="29">
        <f>'V_0,9pu_DIG'!$P$44/V_1pu_DIG!$D$22</f>
        <v>8.7725513884859524E-2</v>
      </c>
      <c r="AE17" s="29">
        <f>'V_0,9pu_DIG'!$P$43/V_1pu_DIG!$D$22</f>
        <v>8.7725513884859524E-2</v>
      </c>
      <c r="AF17" s="29">
        <f>'V_0,9pu_DIG'!$P$42/V_1pu_DIG!$D$22</f>
        <v>8.7725513884859524E-2</v>
      </c>
      <c r="AG17" s="29">
        <f>'V_0,9pu_DIG'!$P$41/V_1pu_DIG!$D$22</f>
        <v>8.7725513884859524E-2</v>
      </c>
      <c r="AH17" s="29">
        <f>'V_0,9pu_DIG'!$P$40/V_1pu_DIG!$D$22</f>
        <v>8.7725513884859524E-2</v>
      </c>
      <c r="AI17" s="29">
        <f>'V_0,9pu_DIG'!$P$39/V_1pu_DIG!$D$22</f>
        <v>8.7725513884859524E-2</v>
      </c>
      <c r="AJ17" s="29">
        <f>'V_0,9pu_DIG'!$P$38/V_1pu_DIG!$D$22</f>
        <v>8.7725513884859524E-2</v>
      </c>
      <c r="AK17" s="29">
        <f>'V_0,9pu_DIG'!$P$37/V_1pu_DIG!$D$22</f>
        <v>8.7725513884859524E-2</v>
      </c>
      <c r="AL17" s="29">
        <f>'V_0,9pu_DIG'!$P$36/V_1pu_DIG!$D$22</f>
        <v>8.7725513884859524E-2</v>
      </c>
    </row>
    <row r="18" spans="1:38">
      <c r="A18">
        <v>15</v>
      </c>
      <c r="C18" s="29">
        <v>0.82499999999999996</v>
      </c>
      <c r="E18" s="36">
        <v>0.92</v>
      </c>
      <c r="F18" s="29">
        <f>'V_0,92pu_DIG'!$P$68/V_1pu_DIG!$D$22</f>
        <v>-0.82560824233079921</v>
      </c>
      <c r="G18" s="29">
        <f>'V_0,92pu_DIG'!$P$67/V_1pu_DIG!$D$22</f>
        <v>-0.82395785367000984</v>
      </c>
      <c r="H18" s="29">
        <f>'V_0,92pu_DIG'!$P$66/V_1pu_DIG!$D$22</f>
        <v>-0.81898874180402226</v>
      </c>
      <c r="I18" s="29">
        <f>'V_0,92pu_DIG'!$P$65/V_1pu_DIG!$D$22</f>
        <v>-0.81064607900425811</v>
      </c>
      <c r="J18" s="29">
        <f>'V_0,92pu_DIG'!$P$64/V_1pu_DIG!$D$22</f>
        <v>-0.79883505512641984</v>
      </c>
      <c r="K18" s="29">
        <f>'V_0,92pu_DIG'!$P$63/V_1pu_DIG!$D$22</f>
        <v>-0.7834152436874654</v>
      </c>
      <c r="L18" s="29">
        <f>'V_0,92pu_DIG'!$P$62/V_1pu_DIG!$D$22</f>
        <v>-0.76419161094669241</v>
      </c>
      <c r="M18" s="29">
        <f>'V_0,92pu_DIG'!$P$61/V_1pu_DIG!$D$22</f>
        <v>-0.74090071299482041</v>
      </c>
      <c r="N18" s="29">
        <f>'V_0,92pu_DIG'!$P$60/V_1pu_DIG!$D$22</f>
        <v>-0.71318953262793694</v>
      </c>
      <c r="O18" s="29">
        <f>'V_0,92pu_DIG'!$P$59/V_1pu_DIG!$D$22</f>
        <v>-0.68058236828687657</v>
      </c>
      <c r="P18" s="29">
        <f>'V_0,92pu_DIG'!$P$58/V_1pu_DIG!$D$22</f>
        <v>-0.64242709738285697</v>
      </c>
      <c r="Q18" s="29">
        <f>'V_0,92pu_DIG'!$P$57/V_1pu_DIG!$D$22</f>
        <v>-0.59780323900050281</v>
      </c>
      <c r="R18" s="29">
        <f>'V_0,92pu_DIG'!$P$56/V_1pu_DIG!$D$22</f>
        <v>-0.545352849622466</v>
      </c>
      <c r="S18" s="29">
        <f>'V_0,92pu_DIG'!$P$55/V_1pu_DIG!$D$22</f>
        <v>-0.48293667388716965</v>
      </c>
      <c r="T18" s="29">
        <f>'V_0,92pu_DIG'!$P$54/V_1pu_DIG!$D$22</f>
        <v>-0.40682522233951951</v>
      </c>
      <c r="U18" s="29">
        <f>'V_0,92pu_DIG'!$P$53/V_1pu_DIG!$D$22</f>
        <v>-0.30929389761522952</v>
      </c>
      <c r="V18" s="29">
        <f>'V_0,92pu_DIG'!$P$52/V_1pu_DIG!$D$22</f>
        <v>-0.167166640999722</v>
      </c>
      <c r="W18" s="29">
        <f>'V_0,92pu_DIG'!$P$51/V_1pu_DIG!$D$22</f>
        <v>-0.11474489286475235</v>
      </c>
      <c r="X18" s="29">
        <f>'V_0,92pu_DIG'!$P$50/V_1pu_DIG!$D$22</f>
        <v>-4.18949363166237E-2</v>
      </c>
      <c r="Y18" s="29">
        <f>'V_0,92pu_DIG'!$P$49/V_1pu_DIG!$D$22</f>
        <v>9.1667746854500132E-2</v>
      </c>
      <c r="Z18" s="29">
        <f>'V_0,92pu_DIG'!$P$48/V_1pu_DIG!$D$22</f>
        <v>9.1667746854500132E-2</v>
      </c>
      <c r="AA18" s="29">
        <f>'V_0,92pu_DIG'!$P$47/V_1pu_DIG!$D$22</f>
        <v>9.1667746854500132E-2</v>
      </c>
      <c r="AB18" s="29">
        <f>'V_0,92pu_DIG'!$P$46/V_1pu_DIG!$D$22</f>
        <v>9.1667746854500132E-2</v>
      </c>
      <c r="AC18" s="29">
        <f>'V_0,92pu_DIG'!$P$45/V_1pu_DIG!$D$22</f>
        <v>9.1667746854500132E-2</v>
      </c>
      <c r="AD18" s="29">
        <f>'V_0,92pu_DIG'!$P$44/V_1pu_DIG!$D$22</f>
        <v>9.1667746854500132E-2</v>
      </c>
      <c r="AE18" s="29">
        <f>'V_0,92pu_DIG'!$P$43/V_1pu_DIG!$D$22</f>
        <v>9.1667746854500132E-2</v>
      </c>
      <c r="AF18" s="29">
        <f>'V_0,92pu_DIG'!$P$42/V_1pu_DIG!$D$22</f>
        <v>9.1667746854500132E-2</v>
      </c>
      <c r="AG18" s="29">
        <f>'V_0,92pu_DIG'!$P$41/V_1pu_DIG!$D$22</f>
        <v>9.1667746854500132E-2</v>
      </c>
      <c r="AH18" s="29">
        <f>'V_0,92pu_DIG'!$P$40/V_1pu_DIG!$D$22</f>
        <v>9.1667746854500132E-2</v>
      </c>
      <c r="AI18" s="29">
        <f>'V_0,92pu_DIG'!$P$39/V_1pu_DIG!$D$22</f>
        <v>9.1667746854500132E-2</v>
      </c>
      <c r="AJ18" s="29">
        <f>'V_0,92pu_DIG'!$P$38/V_1pu_DIG!$D$22</f>
        <v>9.1667746854500132E-2</v>
      </c>
      <c r="AK18" s="29">
        <f>'V_0,92pu_DIG'!$P$37/V_1pu_DIG!$D$22</f>
        <v>9.1667746854500132E-2</v>
      </c>
      <c r="AL18" s="29">
        <f>'V_0,92pu_DIG'!$P$36/V_1pu_DIG!$D$22</f>
        <v>9.1667746854500132E-2</v>
      </c>
    </row>
    <row r="19" spans="1:38">
      <c r="A19">
        <v>16</v>
      </c>
      <c r="C19" s="29">
        <v>0.88</v>
      </c>
      <c r="E19" s="36">
        <v>0.94</v>
      </c>
      <c r="F19" s="29">
        <f>'V_0,94pu_DIG'!$P$68/V_1pu_DIG!$D$22</f>
        <v>-0.84152014925190288</v>
      </c>
      <c r="G19" s="29">
        <f>'V_0,94pu_DIG'!$P$67/V_1pu_DIG!$D$22</f>
        <v>-0.8399049365262955</v>
      </c>
      <c r="H19" s="29">
        <f>'V_0,94pu_DIG'!$P$66/V_1pu_DIG!$D$22</f>
        <v>-0.83504248017623217</v>
      </c>
      <c r="I19" s="29">
        <f>'V_0,94pu_DIG'!$P$65/V_1pu_DIG!$D$22</f>
        <v>-0.82688143774607348</v>
      </c>
      <c r="J19" s="29">
        <f>'V_0,94pu_DIG'!$P$64/V_1pu_DIG!$D$22</f>
        <v>-0.81533316693772728</v>
      </c>
      <c r="K19" s="29">
        <f>'V_0,94pu_DIG'!$P$63/V_1pu_DIG!$D$22</f>
        <v>-0.80026670110043263</v>
      </c>
      <c r="L19" s="29">
        <f>'V_0,94pu_DIG'!$P$62/V_1pu_DIG!$D$22</f>
        <v>-0.78150077673798779</v>
      </c>
      <c r="M19" s="29">
        <f>'V_0,94pu_DIG'!$P$61/V_1pu_DIG!$D$22</f>
        <v>-0.75879169059803386</v>
      </c>
      <c r="N19" s="29">
        <f>'V_0,94pu_DIG'!$P$60/V_1pu_DIG!$D$22</f>
        <v>-0.73181487422419034</v>
      </c>
      <c r="O19" s="29">
        <f>'V_0,94pu_DIG'!$P$59/V_1pu_DIG!$D$22</f>
        <v>-0.70013644868922964</v>
      </c>
      <c r="P19" s="29">
        <f>'V_0,94pu_DIG'!$P$58/V_1pu_DIG!$D$22</f>
        <v>-0.66316784312229493</v>
      </c>
      <c r="Q19" s="29">
        <f>'V_0,94pu_DIG'!$P$57/V_1pu_DIG!$D$22</f>
        <v>-0.62008985206317724</v>
      </c>
      <c r="R19" s="29">
        <f>'V_0,94pu_DIG'!$P$56/V_1pu_DIG!$D$22</f>
        <v>-0.56971699108792262</v>
      </c>
      <c r="S19" s="29">
        <f>'V_0,94pu_DIG'!$P$55/V_1pu_DIG!$D$22</f>
        <v>-0.51023264492745735</v>
      </c>
      <c r="T19" s="29">
        <f>'V_0,94pu_DIG'!$P$54/V_1pu_DIG!$D$22</f>
        <v>-0.4386022424599812</v>
      </c>
      <c r="U19" s="29">
        <f>'V_0,94pu_DIG'!$P$53/V_1pu_DIG!$D$22</f>
        <v>-0.3489945929101248</v>
      </c>
      <c r="V19" s="29">
        <f>'V_0,94pu_DIG'!$P$52/V_1pu_DIG!$D$22</f>
        <v>-0.22675535379375339</v>
      </c>
      <c r="W19" s="29">
        <f>'V_0,94pu_DIG'!$P$51/V_1pu_DIG!$D$22</f>
        <v>-0.18641366533115053</v>
      </c>
      <c r="X19" s="29">
        <f>'V_0,94pu_DIG'!$P$50/V_1pu_DIG!$D$22</f>
        <v>-0.13843801180610832</v>
      </c>
      <c r="Y19" s="29">
        <f>'V_0,94pu_DIG'!$P$49/V_1pu_DIG!$D$22</f>
        <v>-7.6563977922064583E-2</v>
      </c>
      <c r="Z19" s="29">
        <f>'V_0,94pu_DIG'!$P$48/V_1pu_DIG!$D$22</f>
        <v>3.1273979616130272E-2</v>
      </c>
      <c r="AA19" s="29">
        <f>'V_0,94pu_DIG'!$P$47/V_1pu_DIG!$D$22</f>
        <v>9.569662230698997E-2</v>
      </c>
      <c r="AB19" s="29">
        <f>'V_0,94pu_DIG'!$P$46/V_1pu_DIG!$D$22</f>
        <v>9.569662230698997E-2</v>
      </c>
      <c r="AC19" s="29">
        <f>'V_0,94pu_DIG'!$P$45/V_1pu_DIG!$D$22</f>
        <v>9.569662230698997E-2</v>
      </c>
      <c r="AD19" s="29">
        <f>'V_0,94pu_DIG'!$P$44/V_1pu_DIG!$D$22</f>
        <v>9.569662230698997E-2</v>
      </c>
      <c r="AE19" s="29">
        <f>'V_0,94pu_DIG'!$P$43/V_1pu_DIG!$D$22</f>
        <v>9.569662230698997E-2</v>
      </c>
      <c r="AF19" s="29">
        <f>'V_0,94pu_DIG'!$P$42/V_1pu_DIG!$D$22</f>
        <v>9.569662230698997E-2</v>
      </c>
      <c r="AG19" s="29">
        <f>'V_0,94pu_DIG'!$P$41/V_1pu_DIG!$D$22</f>
        <v>9.569662230698997E-2</v>
      </c>
      <c r="AH19" s="29">
        <f>'V_0,94pu_DIG'!$P$40/V_1pu_DIG!$D$22</f>
        <v>9.569662230698997E-2</v>
      </c>
      <c r="AI19" s="29">
        <f>'V_0,94pu_DIG'!$P$39/V_1pu_DIG!$D$22</f>
        <v>9.569662230698997E-2</v>
      </c>
      <c r="AJ19" s="29">
        <f>'V_0,94pu_DIG'!$P$38/V_1pu_DIG!$D$22</f>
        <v>9.569662230698997E-2</v>
      </c>
      <c r="AK19" s="29">
        <f>'V_0,94pu_DIG'!$P$37/V_1pu_DIG!$D$22</f>
        <v>9.569662230698997E-2</v>
      </c>
      <c r="AL19" s="29">
        <f>'V_0,94pu_DIG'!$P$36/V_1pu_DIG!$D$22</f>
        <v>9.569662230698997E-2</v>
      </c>
    </row>
    <row r="20" spans="1:38">
      <c r="A20">
        <v>16.25</v>
      </c>
      <c r="C20" s="29">
        <v>0.89375000000000004</v>
      </c>
      <c r="E20" s="36">
        <v>0.96</v>
      </c>
      <c r="F20" s="29">
        <f>'V_0,96pu_DIG'!$P$68/V_1pu_DIG!$D$22</f>
        <v>-0.85734541369015715</v>
      </c>
      <c r="G20" s="29">
        <f>'V_0,96pu_DIG'!$P$67/V_1pu_DIG!$D$22</f>
        <v>-0.85576390751630982</v>
      </c>
      <c r="H20" s="29">
        <f>'V_0,96pu_DIG'!$P$66/V_1pu_DIG!$D$22</f>
        <v>-0.85100360586730506</v>
      </c>
      <c r="I20" s="29">
        <f>'V_0,96pu_DIG'!$P$65/V_1pu_DIG!$D$22</f>
        <v>-0.84301636115653111</v>
      </c>
      <c r="J20" s="29">
        <f>'V_0,96pu_DIG'!$P$64/V_1pu_DIG!$D$22</f>
        <v>-0.83171917058410805</v>
      </c>
      <c r="K20" s="29">
        <f>'V_0,96pu_DIG'!$P$63/V_1pu_DIG!$D$22</f>
        <v>-0.81698968297249219</v>
      </c>
      <c r="L20" s="29">
        <f>'V_0,96pu_DIG'!$P$62/V_1pu_DIG!$D$22</f>
        <v>-0.79865910751689673</v>
      </c>
      <c r="M20" s="29">
        <f>'V_0,96pu_DIG'!$P$61/V_1pu_DIG!$D$22</f>
        <v>-0.77650149256844747</v>
      </c>
      <c r="N20" s="29">
        <f>'V_0,96pu_DIG'!$P$60/V_1pu_DIG!$D$22</f>
        <v>-0.75021761397220454</v>
      </c>
      <c r="O20" s="29">
        <f>'V_0,96pu_DIG'!$P$59/V_1pu_DIG!$D$22</f>
        <v>-0.719410407695666</v>
      </c>
      <c r="P20" s="29">
        <f>'V_0,96pu_DIG'!$P$58/V_1pu_DIG!$D$22</f>
        <v>-0.68354638754046126</v>
      </c>
      <c r="Q20" s="29">
        <f>'V_0,96pu_DIG'!$P$57/V_1pu_DIG!$D$22</f>
        <v>-0.64189237170971536</v>
      </c>
      <c r="R20" s="29">
        <f>'V_0,96pu_DIG'!$P$56/V_1pu_DIG!$D$22</f>
        <v>-0.59340541799607904</v>
      </c>
      <c r="S20" s="29">
        <f>'V_0,96pu_DIG'!$P$55/V_1pu_DIG!$D$22</f>
        <v>-0.53652549266179261</v>
      </c>
      <c r="T20" s="29">
        <f>'V_0,96pu_DIG'!$P$54/V_1pu_DIG!$D$22</f>
        <v>-0.46873916179647618</v>
      </c>
      <c r="U20" s="29">
        <f>'V_0,96pu_DIG'!$P$53/V_1pu_DIG!$D$22</f>
        <v>-0.38549764025876559</v>
      </c>
      <c r="V20" s="29">
        <f>'V_0,96pu_DIG'!$P$52/V_1pu_DIG!$D$22</f>
        <v>-0.27668564600617029</v>
      </c>
      <c r="W20" s="29">
        <f>'V_0,96pu_DIG'!$P$51/V_1pu_DIG!$D$22</f>
        <v>-0.24276853719003982</v>
      </c>
      <c r="X20" s="29">
        <f>'V_0,96pu_DIG'!$P$50/V_1pu_DIG!$D$22</f>
        <v>-0.20448102933270562</v>
      </c>
      <c r="Y20" s="29">
        <f>'V_0,96pu_DIG'!$P$49/V_1pu_DIG!$D$22</f>
        <v>-0.1598973523643536</v>
      </c>
      <c r="Z20" s="29">
        <f>'V_0,96pu_DIG'!$P$48/V_1pu_DIG!$D$22</f>
        <v>-0.10494523581533724</v>
      </c>
      <c r="AA20" s="29">
        <f>'V_0,96pu_DIG'!$P$47/V_1pu_DIG!$D$22</f>
        <v>-2.6773880115452342E-2</v>
      </c>
      <c r="AB20" s="29">
        <f>'V_0,96pu_DIG'!$P$46/V_1pu_DIG!$D$22</f>
        <v>9.9812140242329039E-2</v>
      </c>
      <c r="AC20" s="29">
        <f>'V_0,96pu_DIG'!$P$45/V_1pu_DIG!$D$22</f>
        <v>9.9812140242329039E-2</v>
      </c>
      <c r="AD20" s="29">
        <f>'V_0,96pu_DIG'!$P$44/V_1pu_DIG!$D$22</f>
        <v>9.9812140242329039E-2</v>
      </c>
      <c r="AE20" s="29">
        <f>'V_0,96pu_DIG'!$P$43/V_1pu_DIG!$D$22</f>
        <v>9.9812140242329039E-2</v>
      </c>
      <c r="AF20" s="29">
        <f>'V_0,96pu_DIG'!$P$42/V_1pu_DIG!$D$22</f>
        <v>9.9812140242329039E-2</v>
      </c>
      <c r="AG20" s="29">
        <f>'V_0,96pu_DIG'!$P$41/V_1pu_DIG!$D$22</f>
        <v>9.9812140242329039E-2</v>
      </c>
      <c r="AH20" s="29">
        <f>'V_0,96pu_DIG'!$P$40/V_1pu_DIG!$D$22</f>
        <v>9.9812140242329039E-2</v>
      </c>
      <c r="AI20" s="29">
        <f>'V_0,96pu_DIG'!$P$39/V_1pu_DIG!$D$22</f>
        <v>9.9812140242329039E-2</v>
      </c>
      <c r="AJ20" s="29">
        <f>'V_0,96pu_DIG'!$P$38/V_1pu_DIG!$D$22</f>
        <v>9.9812140242329039E-2</v>
      </c>
      <c r="AK20" s="29">
        <f>'V_0,96pu_DIG'!$P$37/V_1pu_DIG!$D$22</f>
        <v>9.9812140242329039E-2</v>
      </c>
      <c r="AL20" s="29">
        <f>'V_0,96pu_DIG'!$P$36/V_1pu_DIG!$D$22</f>
        <v>9.9812140242329039E-2</v>
      </c>
    </row>
    <row r="21" spans="1:38">
      <c r="A21">
        <v>16.5</v>
      </c>
      <c r="C21" s="29">
        <v>0.90749999999999997</v>
      </c>
      <c r="E21" s="36">
        <v>0.98</v>
      </c>
      <c r="F21" s="29">
        <f>'V_0,98pu_DIG'!$P$68/V_1pu_DIG!$D$22</f>
        <v>-0.87308403564556236</v>
      </c>
      <c r="G21" s="29">
        <f>'V_0,98pu_DIG'!$P$67/V_1pu_DIG!$D$22</f>
        <v>-0.87153485689747523</v>
      </c>
      <c r="H21" s="29">
        <f>'V_0,98pu_DIG'!$P$66/V_1pu_DIG!$D$22</f>
        <v>-0.86687248924452043</v>
      </c>
      <c r="I21" s="29">
        <f>'V_0,98pu_DIG'!$P$65/V_1pu_DIG!$D$22</f>
        <v>-0.85905171930494129</v>
      </c>
      <c r="J21" s="29">
        <f>'V_0,98pu_DIG'!$P$64/V_1pu_DIG!$D$22</f>
        <v>-0.84799471127797732</v>
      </c>
      <c r="K21" s="29">
        <f>'V_0,98pu_DIG'!$P$63/V_1pu_DIG!$D$22</f>
        <v>-0.83358697856861708</v>
      </c>
      <c r="L21" s="29">
        <f>'V_0,98pu_DIG'!$P$62/V_1pu_DIG!$D$22</f>
        <v>-0.8156710579334473</v>
      </c>
      <c r="M21" s="29">
        <f>'V_0,98pu_DIG'!$P$61/V_1pu_DIG!$D$22</f>
        <v>-0.79403701124326764</v>
      </c>
      <c r="N21" s="29">
        <f>'V_0,98pu_DIG'!$P$60/V_1pu_DIG!$D$22</f>
        <v>-0.76840827975112513</v>
      </c>
      <c r="O21" s="29">
        <f>'V_0,98pu_DIG'!$P$59/V_1pu_DIG!$D$22</f>
        <v>-0.73842036078932416</v>
      </c>
      <c r="P21" s="29">
        <f>'V_0,98pu_DIG'!$P$58/V_1pu_DIG!$D$22</f>
        <v>-0.70358780360377271</v>
      </c>
      <c r="Q21" s="29">
        <f>'V_0,98pu_DIG'!$P$57/V_1pu_DIG!$D$22</f>
        <v>-0.66325107638454994</v>
      </c>
      <c r="R21" s="29">
        <f>'V_0,98pu_DIG'!$P$56/V_1pu_DIG!$D$22</f>
        <v>-0.6164863300207537</v>
      </c>
      <c r="S21" s="29">
        <f>'V_0,98pu_DIG'!$P$55/V_1pu_DIG!$D$22</f>
        <v>-0.56194077200738357</v>
      </c>
      <c r="T21" s="29">
        <f>'V_0,98pu_DIG'!$P$54/V_1pu_DIG!$D$22</f>
        <v>-0.49750141718242424</v>
      </c>
      <c r="U21" s="29">
        <f>'V_0,98pu_DIG'!$P$53/V_1pu_DIG!$D$22</f>
        <v>-0.41952763539819932</v>
      </c>
      <c r="V21" s="29">
        <f>'V_0,98pu_DIG'!$P$52/V_1pu_DIG!$D$22</f>
        <v>-0.32062808866502968</v>
      </c>
      <c r="W21" s="29">
        <f>'V_0,98pu_DIG'!$P$51/V_1pu_DIG!$D$22</f>
        <v>-0.29086808222343635</v>
      </c>
      <c r="X21" s="29">
        <f>'V_0,98pu_DIG'!$P$50/V_1pu_DIG!$D$22</f>
        <v>-0.25815266195770598</v>
      </c>
      <c r="Y21" s="29">
        <f>'V_0,98pu_DIG'!$P$49/V_1pu_DIG!$D$22</f>
        <v>-0.22159220466778418</v>
      </c>
      <c r="Z21" s="29">
        <f>'V_0,98pu_DIG'!$P$48/V_1pu_DIG!$D$22</f>
        <v>-0.17970414923675193</v>
      </c>
      <c r="AA21" s="29">
        <f>'V_0,98pu_DIG'!$P$47/V_1pu_DIG!$D$22</f>
        <v>-0.12964056513968245</v>
      </c>
      <c r="AB21" s="29">
        <f>'V_0,98pu_DIG'!$P$46/V_1pu_DIG!$D$22</f>
        <v>-6.4256043762108403E-2</v>
      </c>
      <c r="AC21" s="29">
        <f>'V_0,98pu_DIG'!$P$45/V_1pu_DIG!$D$22</f>
        <v>6.3306852790265364E-2</v>
      </c>
      <c r="AD21" s="29">
        <f>'V_0,98pu_DIG'!$P$44/V_1pu_DIG!$D$22</f>
        <v>0.10401430066051739</v>
      </c>
      <c r="AE21" s="29">
        <f>'V_0,98pu_DIG'!$P$43/V_1pu_DIG!$D$22</f>
        <v>0.10401430066051739</v>
      </c>
      <c r="AF21" s="29">
        <f>'V_0,98pu_DIG'!$P$42/V_1pu_DIG!$D$22</f>
        <v>0.10401430066051739</v>
      </c>
      <c r="AG21" s="29">
        <f>'V_0,98pu_DIG'!$P$41/V_1pu_DIG!$D$22</f>
        <v>0.10401430066051739</v>
      </c>
      <c r="AH21" s="29">
        <f>'V_0,98pu_DIG'!$P$40/V_1pu_DIG!$D$22</f>
        <v>0.10401430066051739</v>
      </c>
      <c r="AI21" s="29">
        <f>'V_0,98pu_DIG'!$P$39/V_1pu_DIG!$D$22</f>
        <v>0.10401430066051739</v>
      </c>
      <c r="AJ21" s="29">
        <f>'V_0,98pu_DIG'!$P$38/V_1pu_DIG!$D$22</f>
        <v>0.10401430066051739</v>
      </c>
      <c r="AK21" s="29">
        <f>'V_0,98pu_DIG'!$P$37/V_1pu_DIG!$D$22</f>
        <v>0.10401430066051739</v>
      </c>
      <c r="AL21" s="29">
        <f>'V_0,98pu_DIG'!$P$36/V_1pu_DIG!$D$22</f>
        <v>0.10401430066051739</v>
      </c>
    </row>
    <row r="22" spans="1:38">
      <c r="A22">
        <v>16.75</v>
      </c>
      <c r="C22" s="29">
        <v>0.92125000000000001</v>
      </c>
      <c r="E22" s="36">
        <v>1</v>
      </c>
      <c r="F22" s="29">
        <f>V_1pu_DIG!$P$68/V_1pu_DIG!$D$22</f>
        <v>-0.88873601511811828</v>
      </c>
      <c r="G22" s="29">
        <f>V_1pu_DIG!$P$67/V_1pu_DIG!$D$22</f>
        <v>-0.8872178676778959</v>
      </c>
      <c r="H22" s="29">
        <f>V_1pu_DIG!$P$66/V_1pu_DIG!$D$22</f>
        <v>-0.8826494705697906</v>
      </c>
      <c r="I22" s="29">
        <f>V_1pu_DIG!$P$65/V_1pu_DIG!$D$22</f>
        <v>-0.874988310098475</v>
      </c>
      <c r="J22" s="29">
        <f>V_1pu_DIG!$P$64/V_1pu_DIG!$D$22</f>
        <v>-0.864161293821475</v>
      </c>
      <c r="K22" s="29">
        <f>V_1pu_DIG!$P$63/V_1pu_DIG!$D$22</f>
        <v>-0.85006113000391992</v>
      </c>
      <c r="L22" s="29">
        <f>V_1pu_DIG!$P$62/V_1pu_DIG!$D$22</f>
        <v>-0.83254066889885714</v>
      </c>
      <c r="M22" s="29">
        <f>V_1pu_DIG!$P$61/V_1pu_DIG!$D$22</f>
        <v>-0.81140446092703822</v>
      </c>
      <c r="N22" s="29">
        <f>V_1pu_DIG!$P$60/V_1pu_DIG!$D$22</f>
        <v>-0.78639628963011354</v>
      </c>
      <c r="O22" s="29">
        <f>V_1pu_DIG!$P$59/V_1pu_DIG!$D$22</f>
        <v>-0.75718057865177246</v>
      </c>
      <c r="P22" s="29">
        <f>V_1pu_DIG!$P$58/V_1pu_DIG!$D$22</f>
        <v>-0.72331399834144217</v>
      </c>
      <c r="Q22" s="29">
        <f>V_1pu_DIG!$P$57/V_1pu_DIG!$D$22</f>
        <v>-0.68420052682605403</v>
      </c>
      <c r="R22" s="29">
        <f>V_1pu_DIG!$P$56/V_1pu_DIG!$D$22</f>
        <v>-0.63901677719737404</v>
      </c>
      <c r="S22" s="29">
        <f>V_1pu_DIG!$P$55/V_1pu_DIG!$D$22</f>
        <v>-0.58657962336259284</v>
      </c>
      <c r="T22" s="29">
        <f>V_1pu_DIG!$P$54/V_1pu_DIG!$D$22</f>
        <v>-0.52509014251669295</v>
      </c>
      <c r="U22" s="29">
        <f>V_1pu_DIG!$P$53/V_1pu_DIG!$D$22</f>
        <v>-0.45157367232537182</v>
      </c>
      <c r="V22" s="29">
        <f>V_1pu_DIG!$P$52/V_1pu_DIG!$D$22</f>
        <v>-0.36040469899515515</v>
      </c>
      <c r="W22" s="29">
        <f>V_1pu_DIG!$P$51/V_1pu_DIG!$D$22</f>
        <v>-0.33362216351144242</v>
      </c>
      <c r="X22" s="29">
        <f>V_1pu_DIG!$P$50/V_1pu_DIG!$D$22</f>
        <v>-0.30465059139411454</v>
      </c>
      <c r="Y22" s="29">
        <f>V_1pu_DIG!$P$49/V_1pu_DIG!$D$22</f>
        <v>-0.27299132555791156</v>
      </c>
      <c r="Z22" s="29">
        <f>V_1pu_DIG!$P$48/V_1pu_DIG!$D$22</f>
        <v>-0.2379078208436981</v>
      </c>
      <c r="AA22" s="29">
        <f>V_1pu_DIG!$P$47/V_1pu_DIG!$D$22</f>
        <v>-0.19822657147422357</v>
      </c>
      <c r="AB22" s="29">
        <f>V_1pu_DIG!$P$46/V_1pu_DIG!$D$22</f>
        <v>-0.15185214658254587</v>
      </c>
      <c r="AC22" s="29">
        <f>V_1pu_DIG!$P$45/V_1pu_DIG!$D$22</f>
        <v>-9.4238106263852789E-2</v>
      </c>
      <c r="AD22" s="29">
        <f>V_1pu_DIG!$P$44/V_1pu_DIG!$D$22</f>
        <v>-9.9635619767104496E-3</v>
      </c>
      <c r="AE22" s="29">
        <f>V_1pu_DIG!$P$43/V_1pu_DIG!$D$22</f>
        <v>0.10830310356155498</v>
      </c>
      <c r="AF22" s="29">
        <f>V_1pu_DIG!$P$42/V_1pu_DIG!$D$22</f>
        <v>0.10830310356155498</v>
      </c>
      <c r="AG22" s="29">
        <f>V_1pu_DIG!$P$41/V_1pu_DIG!$D$22</f>
        <v>0.10830310356155498</v>
      </c>
      <c r="AH22" s="29">
        <f>V_1pu_DIG!$P$40/V_1pu_DIG!$D$22</f>
        <v>0.10830310356155498</v>
      </c>
      <c r="AI22" s="29">
        <f>V_1pu_DIG!$P$39/V_1pu_DIG!$D$22</f>
        <v>0.10830310356155498</v>
      </c>
      <c r="AJ22" s="29">
        <f>V_1pu_DIG!$P$38/V_1pu_DIG!$D$22</f>
        <v>0.10830310356155498</v>
      </c>
      <c r="AK22" s="29">
        <f>V_1pu_DIG!$P$37/V_1pu_DIG!$D$22</f>
        <v>0.10830310356155498</v>
      </c>
      <c r="AL22" s="29">
        <f>V_1pu_DIG!$P$36/V_1pu_DIG!$D$22</f>
        <v>0.10830310356155498</v>
      </c>
    </row>
    <row r="23" spans="1:38">
      <c r="A23">
        <v>17</v>
      </c>
      <c r="C23" s="29">
        <v>0.93500000000000005</v>
      </c>
      <c r="E23" s="36">
        <v>1.02</v>
      </c>
      <c r="F23" s="29">
        <f>'V_1,02pu_DIG'!$P$68/V_1pu_DIG!$D$22</f>
        <v>-0.90430135210782492</v>
      </c>
      <c r="G23" s="29">
        <f>'V_1,02pu_DIG'!$P$67/V_1pu_DIG!$D$22</f>
        <v>-0.90281301633036704</v>
      </c>
      <c r="H23" s="29">
        <f>'V_1,02pu_DIG'!$P$66/V_1pu_DIG!$D$22</f>
        <v>-0.89833486300630483</v>
      </c>
      <c r="I23" s="29">
        <f>'V_1,02pu_DIG'!$P$65/V_1pu_DIG!$D$22</f>
        <v>-0.89082686665843647</v>
      </c>
      <c r="J23" s="29">
        <f>'V_1,02pu_DIG'!$P$64/V_1pu_DIG!$D$22</f>
        <v>-0.88022029743635966</v>
      </c>
      <c r="K23" s="29">
        <f>'V_1,02pu_DIG'!$P$63/V_1pu_DIG!$D$22</f>
        <v>-0.86641445947935125</v>
      </c>
      <c r="L23" s="29">
        <f>'V_1,02pu_DIG'!$P$62/V_1pu_DIG!$D$22</f>
        <v>-0.84927161564018361</v>
      </c>
      <c r="M23" s="29">
        <f>'V_1,02pu_DIG'!$P$61/V_1pu_DIG!$D$22</f>
        <v>-0.82860946178576489</v>
      </c>
      <c r="N23" s="29">
        <f>'V_1,02pu_DIG'!$P$60/V_1pu_DIG!$D$22</f>
        <v>-0.80419009985127232</v>
      </c>
      <c r="O23" s="29">
        <f>'V_1,02pu_DIG'!$P$59/V_1pu_DIG!$D$22</f>
        <v>-0.77570375566576111</v>
      </c>
      <c r="P23" s="29">
        <f>'V_1,02pu_DIG'!$P$58/V_1pu_DIG!$D$22</f>
        <v>-0.74274422322415168</v>
      </c>
      <c r="Q23" s="29">
        <f>'V_1,02pu_DIG'!$P$57/V_1pu_DIG!$D$22</f>
        <v>-0.70477060491448629</v>
      </c>
      <c r="R23" s="29">
        <f>'V_1,02pu_DIG'!$P$56/V_1pu_DIG!$D$22</f>
        <v>-0.66104499286152185</v>
      </c>
      <c r="S23" s="29">
        <f>'V_1,02pu_DIG'!$P$55/V_1pu_DIG!$D$22</f>
        <v>-0.61052482435028077</v>
      </c>
      <c r="T23" s="29">
        <f>'V_1,02pu_DIG'!$P$54/V_1pu_DIG!$D$22</f>
        <v>-0.551661814984308</v>
      </c>
      <c r="U23" s="29">
        <f>'V_1,02pu_DIG'!$P$53/V_1pu_DIG!$D$22</f>
        <v>-0.48198364015549</v>
      </c>
      <c r="V23" s="29">
        <f>'V_1,02pu_DIG'!$P$52/V_1pu_DIG!$D$22</f>
        <v>-0.39707444922750901</v>
      </c>
      <c r="W23" s="29">
        <f>'V_1,02pu_DIG'!$P$51/V_1pu_DIG!$D$22</f>
        <v>-0.37256268657181352</v>
      </c>
      <c r="X23" s="29">
        <f>'V_1,02pu_DIG'!$P$50/V_1pu_DIG!$D$22</f>
        <v>-0.34633329093051668</v>
      </c>
      <c r="Y23" s="29">
        <f>'V_1,02pu_DIG'!$P$49/V_1pu_DIG!$D$22</f>
        <v>-0.31807260502435575</v>
      </c>
      <c r="Z23" s="29">
        <f>'V_1,02pu_DIG'!$P$48/V_1pu_DIG!$D$22</f>
        <v>-0.28735034894358857</v>
      </c>
      <c r="AA23" s="29">
        <f>'V_1,02pu_DIG'!$P$47/V_1pu_DIG!$D$22</f>
        <v>-0.25354755149841296</v>
      </c>
      <c r="AB23" s="29">
        <f>'V_1,02pu_DIG'!$P$46/V_1pu_DIG!$D$22</f>
        <v>-0.21571430899503177</v>
      </c>
      <c r="AC23" s="29">
        <f>'V_1,02pu_DIG'!$P$45/V_1pu_DIG!$D$22</f>
        <v>-0.17224961155525745</v>
      </c>
      <c r="AD23" s="29">
        <f>'V_1,02pu_DIG'!$P$44/V_1pu_DIG!$D$22</f>
        <v>-0.12001893524016845</v>
      </c>
      <c r="AE23" s="29">
        <f>'V_1,02pu_DIG'!$P$43/V_1pu_DIG!$D$22</f>
        <v>-5.082697587348306E-2</v>
      </c>
      <c r="AF23" s="29">
        <f>'V_1,02pu_DIG'!$P$42/V_1pu_DIG!$D$22</f>
        <v>0.11267854894544181</v>
      </c>
      <c r="AG23" s="29">
        <f>'V_1,02pu_DIG'!$P$41/V_1pu_DIG!$D$22</f>
        <v>0.11267854894544181</v>
      </c>
      <c r="AH23" s="29">
        <f>'V_1,02pu_DIG'!$P$40/V_1pu_DIG!$D$22</f>
        <v>0.11267854894544181</v>
      </c>
      <c r="AI23" s="29">
        <f>'V_1,02pu_DIG'!$P$39/V_1pu_DIG!$D$22</f>
        <v>0.11267854894544181</v>
      </c>
      <c r="AJ23" s="29">
        <f>'V_1,02pu_DIG'!$P$38/V_1pu_DIG!$D$22</f>
        <v>0.11267854894544181</v>
      </c>
      <c r="AK23" s="29">
        <f>'V_1,02pu_DIG'!$P$37/V_1pu_DIG!$D$22</f>
        <v>0.11267854894544181</v>
      </c>
      <c r="AL23" s="29">
        <f>'V_1,02pu_DIG'!$P$36/V_1pu_DIG!$D$22</f>
        <v>0.11267854894544181</v>
      </c>
    </row>
    <row r="24" spans="1:38">
      <c r="A24">
        <v>17.25</v>
      </c>
      <c r="C24" s="29">
        <v>0.94874999999999998</v>
      </c>
      <c r="E24" s="36">
        <v>1.04</v>
      </c>
      <c r="F24" s="29">
        <f>'V_1,04pu_DIG'!$P$68/V_1pu_DIG!$D$22</f>
        <v>-0.91978004661468249</v>
      </c>
      <c r="G24" s="29">
        <f>'V_1,04pu_DIG'!$P$67/V_1pu_DIG!$D$22</f>
        <v>-0.91832037342356587</v>
      </c>
      <c r="H24" s="29">
        <f>'V_1,04pu_DIG'!$P$66/V_1pu_DIG!$D$22</f>
        <v>-0.91392895527093032</v>
      </c>
      <c r="I24" s="29">
        <f>'V_1,04pu_DIG'!$P$65/V_1pu_DIG!$D$22</f>
        <v>-0.90656806380456856</v>
      </c>
      <c r="J24" s="29">
        <f>'V_1,04pu_DIG'!$P$64/V_1pu_DIG!$D$22</f>
        <v>-0.89617298873443796</v>
      </c>
      <c r="K24" s="29">
        <f>'V_1,04pu_DIG'!$P$63/V_1pu_DIG!$D$22</f>
        <v>-0.88264909294024718</v>
      </c>
      <c r="L24" s="29">
        <f>'V_1,04pu_DIG'!$P$62/V_1pu_DIG!$D$22</f>
        <v>-0.86586724907604184</v>
      </c>
      <c r="M24" s="29">
        <f>'V_1,04pu_DIG'!$P$61/V_1pu_DIG!$D$22</f>
        <v>-0.84565711127327914</v>
      </c>
      <c r="N24" s="29">
        <f>'V_1,04pu_DIG'!$P$60/V_1pu_DIG!$D$22</f>
        <v>-0.82179732903989444</v>
      </c>
      <c r="O24" s="29">
        <f>'V_1,04pu_DIG'!$P$59/V_1pu_DIG!$D$22</f>
        <v>-0.7940012312404473</v>
      </c>
      <c r="P24" s="29">
        <f>'V_1,04pu_DIG'!$P$58/V_1pu_DIG!$D$22</f>
        <v>-0.76189548515234495</v>
      </c>
      <c r="Q24" s="29">
        <f>'V_1,04pu_DIG'!$P$57/V_1pu_DIG!$D$22</f>
        <v>-0.72498732479367411</v>
      </c>
      <c r="R24" s="29">
        <f>'V_1,04pu_DIG'!$P$56/V_1pu_DIG!$D$22</f>
        <v>-0.68261213981221591</v>
      </c>
      <c r="S24" s="29">
        <f>'V_1,04pu_DIG'!$P$55/V_1pu_DIG!$D$22</f>
        <v>-0.63384505127943103</v>
      </c>
      <c r="T24" s="29">
        <f>'V_1,04pu_DIG'!$P$54/V_1pu_DIG!$D$22</f>
        <v>-0.57734082710059442</v>
      </c>
      <c r="U24" s="29">
        <f>'V_1,04pu_DIG'!$P$53/V_1pu_DIG!$D$22</f>
        <v>-0.51101499972898001</v>
      </c>
      <c r="V24" s="29">
        <f>'V_1,04pu_DIG'!$P$52/V_1pu_DIG!$D$22</f>
        <v>-0.43131583704735044</v>
      </c>
      <c r="W24" s="29">
        <f>'V_1,04pu_DIG'!$P$51/V_1pu_DIG!$D$22</f>
        <v>-0.40861162539734175</v>
      </c>
      <c r="X24" s="29">
        <f>'V_1,04pu_DIG'!$P$50/V_1pu_DIG!$D$22</f>
        <v>-0.38450490908495011</v>
      </c>
      <c r="Y24" s="29">
        <f>'V_1,04pu_DIG'!$P$49/V_1pu_DIG!$D$22</f>
        <v>-0.35878261458286298</v>
      </c>
      <c r="Z24" s="29">
        <f>'V_1,04pu_DIG'!$P$48/V_1pu_DIG!$D$22</f>
        <v>-0.33116673956972736</v>
      </c>
      <c r="AA24" s="29">
        <f>'V_1,04pu_DIG'!$P$47/V_1pu_DIG!$D$22</f>
        <v>-0.30128252365868724</v>
      </c>
      <c r="AB24" s="29">
        <f>'V_1,04pu_DIG'!$P$46/V_1pu_DIG!$D$22</f>
        <v>-0.26860313010885362</v>
      </c>
      <c r="AC24" s="29">
        <f>'V_1,04pu_DIG'!$P$45/V_1pu_DIG!$D$22</f>
        <v>-0.23234533031443977</v>
      </c>
      <c r="AD24" s="29">
        <f>'V_1,04pu_DIG'!$P$44/V_1pu_DIG!$D$22</f>
        <v>-0.19124954415736489</v>
      </c>
      <c r="AE24" s="29">
        <f>'V_1,04pu_DIG'!$P$43/V_1pu_DIG!$D$22</f>
        <v>-0.14303323047357985</v>
      </c>
      <c r="AF24" s="29">
        <f>'V_1,04pu_DIG'!$P$42/V_1pu_DIG!$D$22</f>
        <v>-8.2604835523059569E-2</v>
      </c>
      <c r="AG24" s="29">
        <f>'V_1,04pu_DIG'!$P$41/V_1pu_DIG!$D$22</f>
        <v>8.8450172404370905E-3</v>
      </c>
      <c r="AH24" s="29">
        <f>'V_1,04pu_DIG'!$P$40/V_1pu_DIG!$D$22</f>
        <v>0.1171406368121779</v>
      </c>
      <c r="AI24" s="29">
        <f>'V_1,04pu_DIG'!$P$39/V_1pu_DIG!$D$22</f>
        <v>0.1171406368121779</v>
      </c>
      <c r="AJ24" s="29">
        <f>'V_1,04pu_DIG'!$P$38/V_1pu_DIG!$D$22</f>
        <v>0.1171406368121779</v>
      </c>
      <c r="AK24" s="29">
        <f>'V_1,04pu_DIG'!$P$37/V_1pu_DIG!$D$22</f>
        <v>0.1171406368121779</v>
      </c>
      <c r="AL24" s="29">
        <f>'V_1,04pu_DIG'!$P$36/V_1pu_DIG!$D$22</f>
        <v>0.1171406368121779</v>
      </c>
    </row>
    <row r="25" spans="1:38">
      <c r="A25">
        <v>17.5</v>
      </c>
      <c r="C25" s="29">
        <v>0.96250000000000002</v>
      </c>
      <c r="E25" s="36">
        <v>1.06</v>
      </c>
      <c r="F25" s="29">
        <f>'V_1,06pu_DIG'!$P$68/V_1pu_DIG!$D$22</f>
        <v>-0.93517209863869066</v>
      </c>
      <c r="G25" s="29">
        <f>'V_1,06pu_DIG'!$P$67/V_1pu_DIG!$D$22</f>
        <v>-0.933740004181428</v>
      </c>
      <c r="H25" s="29">
        <f>'V_1,06pu_DIG'!$P$66/V_1pu_DIG!$D$22</f>
        <v>-0.92943201398024544</v>
      </c>
      <c r="I25" s="29">
        <f>'V_1,06pu_DIG'!$P$65/V_1pu_DIG!$D$22</f>
        <v>-0.92221252377142393</v>
      </c>
      <c r="J25" s="29">
        <f>'V_1,06pu_DIG'!$P$64/V_1pu_DIG!$D$22</f>
        <v>-0.91202053309743614</v>
      </c>
      <c r="K25" s="29">
        <f>'V_1,06pu_DIG'!$P$63/V_1pu_DIG!$D$22</f>
        <v>-0.89876698070123284</v>
      </c>
      <c r="L25" s="29">
        <f>'V_1,06pu_DIG'!$P$62/V_1pu_DIG!$D$22</f>
        <v>-0.88233063159019587</v>
      </c>
      <c r="M25" s="29">
        <f>'V_1,06pu_DIG'!$P$61/V_1pu_DIG!$D$22</f>
        <v>-0.86255204524369133</v>
      </c>
      <c r="N25" s="29">
        <f>'V_1,06pu_DIG'!$P$60/V_1pu_DIG!$D$22</f>
        <v>-0.83922486308664135</v>
      </c>
      <c r="O25" s="29">
        <f>'V_1,06pu_DIG'!$P$59/V_1pu_DIG!$D$22</f>
        <v>-0.81208317360707094</v>
      </c>
      <c r="P25" s="29">
        <f>'V_1,06pu_DIG'!$P$58/V_1pu_DIG!$D$22</f>
        <v>-0.78078288055219514</v>
      </c>
      <c r="Q25" s="29">
        <f>'V_1,06pu_DIG'!$P$57/V_1pu_DIG!$D$22</f>
        <v>-0.74487347412205518</v>
      </c>
      <c r="R25" s="29">
        <f>'V_1,06pu_DIG'!$P$56/V_1pu_DIG!$D$22</f>
        <v>-0.70375363989195461</v>
      </c>
      <c r="S25" s="29">
        <f>'V_1,06pu_DIG'!$P$55/V_1pu_DIG!$D$22</f>
        <v>-0.65659795632094908</v>
      </c>
      <c r="T25" s="29">
        <f>'V_1,06pu_DIG'!$P$54/V_1pu_DIG!$D$22</f>
        <v>-0.60222786422168995</v>
      </c>
      <c r="U25" s="29">
        <f>'V_1,06pu_DIG'!$P$53/V_1pu_DIG!$D$22</f>
        <v>-0.53886430809399077</v>
      </c>
      <c r="V25" s="29">
        <f>'V_1,06pu_DIG'!$P$52/V_1pu_DIG!$D$22</f>
        <v>-0.46359360533434846</v>
      </c>
      <c r="W25" s="29">
        <f>'V_1,06pu_DIG'!$P$51/V_1pu_DIG!$D$22</f>
        <v>-0.44237365714836147</v>
      </c>
      <c r="X25" s="29">
        <f>'V_1,06pu_DIG'!$P$50/V_1pu_DIG!$D$22</f>
        <v>-0.41997465037483145</v>
      </c>
      <c r="Y25" s="29">
        <f>'V_1,06pu_DIG'!$P$49/V_1pu_DIG!$D$22</f>
        <v>-0.39624363564254161</v>
      </c>
      <c r="Z25" s="29">
        <f>'V_1,06pu_DIG'!$P$48/V_1pu_DIG!$D$22</f>
        <v>-0.37098817230384307</v>
      </c>
      <c r="AA25" s="29">
        <f>'V_1,06pu_DIG'!$P$47/V_1pu_DIG!$D$22</f>
        <v>-0.34396028160207309</v>
      </c>
      <c r="AB25" s="29">
        <f>'V_1,06pu_DIG'!$P$46/V_1pu_DIG!$D$22</f>
        <v>-0.31483085905219343</v>
      </c>
      <c r="AC25" s="29">
        <f>'V_1,06pu_DIG'!$P$45/V_1pu_DIG!$D$22</f>
        <v>-0.2831465198268831</v>
      </c>
      <c r="AD25" s="29">
        <f>'V_1,06pu_DIG'!$P$44/V_1pu_DIG!$D$22</f>
        <v>-0.24825138200475411</v>
      </c>
      <c r="AE25" s="29">
        <f>'V_1,06pu_DIG'!$P$43/V_1pu_DIG!$D$22</f>
        <v>-0.20913096987011248</v>
      </c>
      <c r="AF25" s="29">
        <f>'V_1,06pu_DIG'!$P$42/V_1pu_DIG!$D$22</f>
        <v>-0.1640551129142023</v>
      </c>
      <c r="AG25" s="29">
        <f>'V_1,06pu_DIG'!$P$41/V_1pu_DIG!$D$22</f>
        <v>-0.10956719035365931</v>
      </c>
      <c r="AH25" s="29">
        <f>'V_1,06pu_DIG'!$P$40/V_1pu_DIG!$D$22</f>
        <v>-3.6206667917916754E-2</v>
      </c>
      <c r="AI25" s="29">
        <f>'V_1,06pu_DIG'!$P$39/V_1pu_DIG!$D$22</f>
        <v>0.12168936716176319</v>
      </c>
      <c r="AJ25" s="29">
        <f>'V_1,06pu_DIG'!$P$38/V_1pu_DIG!$D$22</f>
        <v>0.12168936716176319</v>
      </c>
      <c r="AK25" s="29">
        <f>'V_1,06pu_DIG'!$P$37/V_1pu_DIG!$D$22</f>
        <v>0.12168936716176319</v>
      </c>
      <c r="AL25" s="29">
        <f>'V_1,06pu_DIG'!$P$36/V_1pu_DIG!$D$22</f>
        <v>9.3725712708859418E-2</v>
      </c>
    </row>
    <row r="26" spans="1:38">
      <c r="A26">
        <v>17.75</v>
      </c>
      <c r="C26" s="29">
        <v>0.97624999999999995</v>
      </c>
      <c r="E26" s="36">
        <v>1.08</v>
      </c>
      <c r="F26" s="29">
        <f>'V_1,08pu_DIG'!$P$68/V_1pu_DIG!$D$22</f>
        <v>-0.95047750817984944</v>
      </c>
      <c r="G26" s="29">
        <f>'V_1,08pu_DIG'!$P$67/V_1pu_DIG!$D$22</f>
        <v>-0.9490719689800684</v>
      </c>
      <c r="H26" s="29">
        <f>'V_1,08pu_DIG'!$P$66/V_1pu_DIG!$D$22</f>
        <v>-0.94484428573081936</v>
      </c>
      <c r="I26" s="29">
        <f>'V_1,08pu_DIG'!$P$65/V_1pu_DIG!$D$22</f>
        <v>-0.9377608212614198</v>
      </c>
      <c r="J26" s="29">
        <f>'V_1,08pu_DIG'!$P$64/V_1pu_DIG!$D$22</f>
        <v>-0.92776400469131615</v>
      </c>
      <c r="K26" s="29">
        <f>'V_1,08pu_DIG'!$P$63/V_1pu_DIG!$D$22</f>
        <v>-0.91476991548756137</v>
      </c>
      <c r="L26" s="29">
        <f>'V_1,08pu_DIG'!$P$62/V_1pu_DIG!$D$22</f>
        <v>-0.89866456808305373</v>
      </c>
      <c r="M26" s="29">
        <f>'V_1,08pu_DIG'!$P$61/V_1pu_DIG!$D$22</f>
        <v>-0.87929849048165132</v>
      </c>
      <c r="N26" s="29">
        <f>'V_1,08pu_DIG'!$P$60/V_1pu_DIG!$D$22</f>
        <v>-0.85647894420355819</v>
      </c>
      <c r="O26" s="29">
        <f>'V_1,08pu_DIG'!$P$59/V_1pu_DIG!$D$22</f>
        <v>-0.82995873349715288</v>
      </c>
      <c r="P26" s="29">
        <f>'V_1,08pu_DIG'!$P$58/V_1pu_DIG!$D$22</f>
        <v>-0.79941986931912823</v>
      </c>
      <c r="Q26" s="29">
        <f>'V_1,08pu_DIG'!$P$57/V_1pu_DIG!$D$22</f>
        <v>-0.76444912674903043</v>
      </c>
      <c r="R26" s="29">
        <f>'V_1,08pu_DIG'!$P$56/V_1pu_DIG!$D$22</f>
        <v>-0.72450020185499531</v>
      </c>
      <c r="S26" s="29">
        <f>'V_1,08pu_DIG'!$P$55/V_1pu_DIG!$D$22</f>
        <v>-0.67883243824659933</v>
      </c>
      <c r="T26" s="29">
        <f>'V_1,08pu_DIG'!$P$54/V_1pu_DIG!$D$22</f>
        <v>-0.62640567766718691</v>
      </c>
      <c r="U26" s="29">
        <f>'V_1,08pu_DIG'!$P$53/V_1pu_DIG!$D$22</f>
        <v>-0.56568543454999387</v>
      </c>
      <c r="V26" s="29">
        <f>'V_1,08pu_DIG'!$P$52/V_1pu_DIG!$D$22</f>
        <v>-0.49424200232501703</v>
      </c>
      <c r="W26" s="29">
        <f>'V_1,08pu_DIG'!$P$51/V_1pu_DIG!$D$22</f>
        <v>-0.47426998123858394</v>
      </c>
      <c r="X26" s="29">
        <f>'V_1,08pu_DIG'!$P$50/V_1pu_DIG!$D$22</f>
        <v>-0.45328446599953287</v>
      </c>
      <c r="Y26" s="29">
        <f>'V_1,08pu_DIG'!$P$49/V_1pu_DIG!$D$22</f>
        <v>-0.43117101709520161</v>
      </c>
      <c r="Z26" s="29">
        <f>'V_1,08pu_DIG'!$P$48/V_1pu_DIG!$D$22</f>
        <v>-0.40778955645618048</v>
      </c>
      <c r="AA26" s="29">
        <f>'V_1,08pu_DIG'!$P$47/V_1pu_DIG!$D$22</f>
        <v>-0.3829654711552829</v>
      </c>
      <c r="AB26" s="29">
        <f>'V_1,08pu_DIG'!$P$46/V_1pu_DIG!$D$22</f>
        <v>-0.35647628700624506</v>
      </c>
      <c r="AC26" s="29">
        <f>'V_1,08pu_DIG'!$P$45/V_1pu_DIG!$D$22</f>
        <v>-0.32803086872289788</v>
      </c>
      <c r="AD26" s="29">
        <f>'V_1,08pu_DIG'!$P$44/V_1pu_DIG!$D$22</f>
        <v>-0.29723526953536422</v>
      </c>
      <c r="AE26" s="29">
        <f>'V_1,08pu_DIG'!$P$43/V_1pu_DIG!$D$22</f>
        <v>-0.26353295092991674</v>
      </c>
      <c r="AF26" s="29">
        <f>'V_1,08pu_DIG'!$P$42/V_1pu_DIG!$D$22</f>
        <v>-0.22609096861238864</v>
      </c>
      <c r="AG26" s="29">
        <f>'V_1,08pu_DIG'!$P$41/V_1pu_DIG!$D$22</f>
        <v>-0.18355671987825489</v>
      </c>
      <c r="AH26" s="29">
        <f>'V_1,08pu_DIG'!$P$40/V_1pu_DIG!$D$22</f>
        <v>-0.13344069587570789</v>
      </c>
      <c r="AI26" s="29">
        <f>'V_1,08pu_DIG'!$P$39/V_1pu_DIG!$D$22</f>
        <v>-7.0020667827534189E-2</v>
      </c>
      <c r="AJ26" s="29">
        <f>'V_1,08pu_DIG'!$P$38/V_1pu_DIG!$D$22</f>
        <v>3.0164292445935003E-2</v>
      </c>
      <c r="AK26" s="29">
        <f>'V_1,08pu_DIG'!$P$37/V_1pu_DIG!$D$22</f>
        <v>0.12632473999419774</v>
      </c>
      <c r="AL26" s="29">
        <f>'V_1,08pu_DIG'!$P$36/V_1pu_DIG!$D$22</f>
        <v>-2.6499586619677995E-2</v>
      </c>
    </row>
    <row r="27" spans="1:38">
      <c r="A27">
        <v>18</v>
      </c>
      <c r="C27" s="29">
        <v>0.99</v>
      </c>
      <c r="E27" s="36">
        <v>1.1000000000000001</v>
      </c>
      <c r="F27" s="29">
        <f>'V_1,1pu_DIG'!$P$68/V_1pu_DIG!$D$22</f>
        <v>-0.96569627523815904</v>
      </c>
      <c r="G27" s="29">
        <f>'V_1,1pu_DIG'!$P$67/V_1pu_DIG!$D$22</f>
        <v>-0.96431632379024013</v>
      </c>
      <c r="H27" s="29">
        <f>'V_1,1pu_DIG'!$P$66/V_1pu_DIG!$D$22</f>
        <v>-0.96016599894828614</v>
      </c>
      <c r="I27" s="29">
        <f>'V_1,1pu_DIG'!$P$65/V_1pu_DIG!$D$22</f>
        <v>-0.95321348792312133</v>
      </c>
      <c r="J27" s="29">
        <f>'V_1,1pu_DIG'!$P$64/V_1pu_DIG!$D$22</f>
        <v>-0.94340439530408771</v>
      </c>
      <c r="K27" s="29">
        <f>'V_1,1pu_DIG'!$P$63/V_1pu_DIG!$D$22</f>
        <v>-0.93065954826737063</v>
      </c>
      <c r="L27" s="29">
        <f>'V_1,1pu_DIG'!$P$62/V_1pu_DIG!$D$22</f>
        <v>-0.91487163302434205</v>
      </c>
      <c r="M27" s="29">
        <f>'V_1,1pu_DIG'!$P$61/V_1pu_DIG!$D$22</f>
        <v>-0.89590031005212856</v>
      </c>
      <c r="N27" s="29">
        <f>'V_1,1pu_DIG'!$P$60/V_1pu_DIG!$D$22</f>
        <v>-0.8735652469355758</v>
      </c>
      <c r="O27" s="29">
        <f>'V_1,1pu_DIG'!$P$59/V_1pu_DIG!$D$22</f>
        <v>-0.84763617345489783</v>
      </c>
      <c r="P27" s="29">
        <f>'V_1,1pu_DIG'!$P$58/V_1pu_DIG!$D$22</f>
        <v>-0.81781850122319566</v>
      </c>
      <c r="Q27" s="29">
        <f>'V_1,1pu_DIG'!$P$57/V_1pu_DIG!$D$22</f>
        <v>-0.78373205678381508</v>
      </c>
      <c r="R27" s="29">
        <f>'V_1,1pu_DIG'!$P$56/V_1pu_DIG!$D$22</f>
        <v>-0.74487862681779948</v>
      </c>
      <c r="S27" s="29">
        <f>'V_1,1pu_DIG'!$P$55/V_1pu_DIG!$D$22</f>
        <v>-0.70059035007652948</v>
      </c>
      <c r="T27" s="29">
        <f>'V_1,1pu_DIG'!$P$54/V_1pu_DIG!$D$22</f>
        <v>-0.64994317743922114</v>
      </c>
      <c r="U27" s="29">
        <f>'V_1,1pu_DIG'!$P$53/V_1pu_DIG!$D$22</f>
        <v>-0.59160134373653639</v>
      </c>
      <c r="V27" s="29">
        <f>'V_1,1pu_DIG'!$P$52/V_1pu_DIG!$D$22</f>
        <v>-0.52351055696716187</v>
      </c>
      <c r="W27" s="29">
        <f>'V_1,1pu_DIG'!$P$51/V_1pu_DIG!$D$22</f>
        <v>-0.50460740581496466</v>
      </c>
      <c r="X27" s="29">
        <f>'V_1,1pu_DIG'!$P$50/V_1pu_DIG!$D$22</f>
        <v>-0.48481769816613796</v>
      </c>
      <c r="Y27" s="29">
        <f>'V_1,1pu_DIG'!$P$49/V_1pu_DIG!$D$22</f>
        <v>-0.46405299477853779</v>
      </c>
      <c r="Z27" s="29">
        <f>'V_1,1pu_DIG'!$P$48/V_1pu_DIG!$D$22</f>
        <v>-0.44220735505940473</v>
      </c>
      <c r="AA27" s="29">
        <f>'V_1,1pu_DIG'!$P$47/V_1pu_DIG!$D$22</f>
        <v>-0.41915203835951892</v>
      </c>
      <c r="AB27" s="29">
        <f>'V_1,1pu_DIG'!$P$46/V_1pu_DIG!$D$22</f>
        <v>-0.39472793508063514</v>
      </c>
      <c r="AC27" s="29">
        <f>'V_1,1pu_DIG'!$P$45/V_1pu_DIG!$D$22</f>
        <v>-0.36873440935643814</v>
      </c>
      <c r="AD27" s="29">
        <f>'V_1,1pu_DIG'!$P$44/V_1pu_DIG!$D$22</f>
        <v>-0.34091222072002814</v>
      </c>
      <c r="AE27" s="29">
        <f>'V_1,1pu_DIG'!$P$43/V_1pu_DIG!$D$22</f>
        <v>-0.31091615326410338</v>
      </c>
      <c r="AF27" s="29">
        <f>'V_1,1pu_DIG'!$P$42/V_1pu_DIG!$D$22</f>
        <v>-0.27826855720010807</v>
      </c>
      <c r="AG27" s="29">
        <f>'V_1,1pu_DIG'!$P$41/V_1pu_DIG!$D$22</f>
        <v>-0.24227443690283193</v>
      </c>
      <c r="AH27" s="29">
        <f>'V_1,1pu_DIG'!$P$40/V_1pu_DIG!$D$22</f>
        <v>-0.20185003808874674</v>
      </c>
      <c r="AI27" s="29">
        <f>'V_1,1pu_DIG'!$P$39/V_1pu_DIG!$D$22</f>
        <v>-0.15512401984902915</v>
      </c>
      <c r="AJ27" s="29">
        <f>'V_1,1pu_DIG'!$P$38/V_1pu_DIG!$D$22</f>
        <v>-9.8276215748419299E-2</v>
      </c>
      <c r="AK27" s="29">
        <f>'V_1,1pu_DIG'!$P$37/V_1pu_DIG!$D$22</f>
        <v>-2.0301229661652286E-2</v>
      </c>
      <c r="AL27" s="29">
        <f>'V_1,1pu_DIG'!$P$36/V_1pu_DIG!$D$22</f>
        <v>0.13104675530948151</v>
      </c>
    </row>
    <row r="28" spans="1:38">
      <c r="A28">
        <v>18.25</v>
      </c>
      <c r="C28" s="29">
        <v>1.0037499999999999</v>
      </c>
    </row>
    <row r="29" spans="1:38" ht="15.75" thickBot="1">
      <c r="A29">
        <v>18.5</v>
      </c>
      <c r="C29" s="29">
        <v>1.0175000000000001</v>
      </c>
      <c r="E29" s="43" t="s">
        <v>82</v>
      </c>
    </row>
    <row r="30" spans="1:38" ht="15.75" thickBot="1">
      <c r="A30">
        <v>18.75</v>
      </c>
      <c r="C30" s="29">
        <v>1.03125</v>
      </c>
      <c r="E30" s="42" t="s">
        <v>76</v>
      </c>
      <c r="F30" s="187" t="s">
        <v>79</v>
      </c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</row>
    <row r="31" spans="1:38">
      <c r="A31">
        <v>19</v>
      </c>
      <c r="C31" s="29">
        <v>1.0449999999999999</v>
      </c>
      <c r="E31" s="35" t="s">
        <v>80</v>
      </c>
      <c r="F31" s="37">
        <v>0</v>
      </c>
      <c r="G31" s="30">
        <v>5.5E-2</v>
      </c>
      <c r="H31" s="37">
        <v>0.11</v>
      </c>
      <c r="I31" s="30">
        <v>0.16500000000000001</v>
      </c>
      <c r="J31" s="37">
        <v>0.22</v>
      </c>
      <c r="K31" s="30">
        <v>0.27500000000000002</v>
      </c>
      <c r="L31" s="37">
        <v>0.33</v>
      </c>
      <c r="M31" s="30">
        <v>0.38500000000000001</v>
      </c>
      <c r="N31" s="37">
        <v>0.44</v>
      </c>
      <c r="O31" s="30">
        <v>0.495</v>
      </c>
      <c r="P31" s="37">
        <v>0.55000000000000004</v>
      </c>
      <c r="Q31" s="30">
        <v>0.60499999999999998</v>
      </c>
      <c r="R31" s="37">
        <v>0.66</v>
      </c>
      <c r="S31" s="30">
        <v>0.71499999999999997</v>
      </c>
      <c r="T31" s="37">
        <v>0.77</v>
      </c>
      <c r="U31" s="30">
        <v>0.82499999999999996</v>
      </c>
      <c r="V31" s="37">
        <v>0.88</v>
      </c>
      <c r="W31" s="37">
        <v>0.89375000000000004</v>
      </c>
      <c r="X31" s="37">
        <v>0.90749999999999997</v>
      </c>
      <c r="Y31" s="37">
        <v>0.92125000000000001</v>
      </c>
      <c r="Z31" s="37">
        <v>0.93500000000000005</v>
      </c>
      <c r="AA31" s="37">
        <v>0.94874999999999998</v>
      </c>
      <c r="AB31" s="37">
        <v>0.96250000000000002</v>
      </c>
      <c r="AC31" s="37">
        <v>0.97624999999999995</v>
      </c>
      <c r="AD31" s="37">
        <v>0.99</v>
      </c>
      <c r="AE31" s="37">
        <v>1.0037499999999999</v>
      </c>
      <c r="AF31" s="37">
        <v>1.0175000000000001</v>
      </c>
      <c r="AG31" s="37">
        <v>1.03125</v>
      </c>
      <c r="AH31" s="37">
        <v>1.0449999999999999</v>
      </c>
      <c r="AI31" s="37">
        <v>1.0587500000000001</v>
      </c>
      <c r="AJ31" s="37">
        <v>1.0725</v>
      </c>
      <c r="AK31" s="37">
        <v>1.0862499999999999</v>
      </c>
      <c r="AL31" s="37">
        <v>1.1000000000000001</v>
      </c>
    </row>
    <row r="32" spans="1:38">
      <c r="A32">
        <v>19.25</v>
      </c>
      <c r="C32" s="29">
        <v>1.0587500000000001</v>
      </c>
      <c r="E32" s="36">
        <v>0.9</v>
      </c>
      <c r="F32" s="39">
        <f>'V_0,9pu_DIG'!$N$4/V_1pu_DIG!$D$22</f>
        <v>0.98506072069656547</v>
      </c>
      <c r="G32" s="40">
        <f>'V_0,9pu_DIG'!$N$5/V_1pu_DIG!$D$22</f>
        <v>0.98337358840062994</v>
      </c>
      <c r="H32" s="40">
        <f>'V_0,9pu_DIG'!$N$6/V_1pu_DIG!$D$22</f>
        <v>0.97829301463020291</v>
      </c>
      <c r="I32" s="40">
        <f>'V_0,9pu_DIG'!$N$7/V_1pu_DIG!$D$22</f>
        <v>0.96976036205346061</v>
      </c>
      <c r="J32" s="40">
        <f>'V_0,9pu_DIG'!$N$8/V_1pu_DIG!$D$22</f>
        <v>0.95767406028505164</v>
      </c>
      <c r="K32" s="40">
        <f>'V_0,9pu_DIG'!$N$9/V_1pu_DIG!$D$22</f>
        <v>0.94188327061590227</v>
      </c>
      <c r="L32" s="40">
        <f>'V_0,9pu_DIG'!$N$10/V_1pu_DIG!$D$22</f>
        <v>0.92217771346480371</v>
      </c>
      <c r="M32" s="40">
        <f>'V_0,9pu_DIG'!$N$11/V_1pu_DIG!$D$22</f>
        <v>0.89827191809858919</v>
      </c>
      <c r="N32" s="40">
        <f>'V_0,9pu_DIG'!$N$12/V_1pu_DIG!$D$22</f>
        <v>0.86978080181775697</v>
      </c>
      <c r="O32" s="40">
        <f>'V_0,9pu_DIG'!$N$13/V_1pu_DIG!$D$22</f>
        <v>0.83618090559755665</v>
      </c>
      <c r="P32" s="40">
        <f>'V_0,9pu_DIG'!$N$14/V_1pu_DIG!$D$22</f>
        <v>0.79674629875918679</v>
      </c>
      <c r="Q32" s="40">
        <f>'V_0,9pu_DIG'!$N$15/V_1pu_DIG!$D$22</f>
        <v>0.7504362150085151</v>
      </c>
      <c r="R32" s="40">
        <f>'V_0,9pu_DIG'!$N$16/V_1pu_DIG!$D$22</f>
        <v>0.6956814936924498</v>
      </c>
      <c r="S32" s="40">
        <f>'V_0,9pu_DIG'!$N$17/V_1pu_DIG!$D$22</f>
        <v>0.62992978663066435</v>
      </c>
      <c r="T32" s="40">
        <f>'V_0,9pu_DIG'!$N$18/V_1pu_DIG!$D$22</f>
        <v>0.54849712041439302</v>
      </c>
      <c r="U32" s="40">
        <f>'V_0,9pu_DIG'!$N$19/V_1pu_DIG!$D$22</f>
        <v>0.44069218849282749</v>
      </c>
      <c r="V32" s="40">
        <f>'V_0,9pu_DIG'!$N$20/V_1pu_DIG!$D$22</f>
        <v>0.2632546379179026</v>
      </c>
      <c r="W32" s="40">
        <f>'V_0,9pu_DIG'!$N$21/V_1pu_DIG!$D$22</f>
        <v>0.16785922017507912</v>
      </c>
      <c r="X32" s="40">
        <f>'V_0,9pu_DIG'!$N$22/V_1pu_DIG!$D$22</f>
        <v>8.7725513884859524E-2</v>
      </c>
      <c r="Y32" s="40">
        <f>'V_0,9pu_DIG'!$N$23/V_1pu_DIG!$D$22</f>
        <v>8.7725513884859524E-2</v>
      </c>
      <c r="Z32" s="41">
        <f>'V_0,9pu_DIG'!$N$24/V_1pu_DIG!$D$22</f>
        <v>8.7725513884859524E-2</v>
      </c>
      <c r="AA32" s="41">
        <f>'V_0,9pu_DIG'!$N$25/V_1pu_DIG!$D$22</f>
        <v>8.7725513884859524E-2</v>
      </c>
      <c r="AB32" s="41">
        <f>'V_0,9pu_DIG'!$N$26/V_1pu_DIG!$D$22</f>
        <v>8.7725513884859524E-2</v>
      </c>
      <c r="AC32" s="41">
        <f>'V_0,9pu_DIG'!$N$27/V_1pu_DIG!$D$22</f>
        <v>8.7725513884859524E-2</v>
      </c>
      <c r="AD32" s="41">
        <f>'V_0,9pu_DIG'!$N$28/V_1pu_DIG!$D$22</f>
        <v>8.7725513884859524E-2</v>
      </c>
      <c r="AE32" s="41">
        <f>'V_0,9pu_DIG'!$N$29/V_1pu_DIG!$D$22</f>
        <v>8.7725513884859524E-2</v>
      </c>
      <c r="AF32" s="41">
        <f>'V_0,9pu_DIG'!$N$30/V_1pu_DIG!$D$22</f>
        <v>8.7725513884859524E-2</v>
      </c>
      <c r="AG32" s="41">
        <f>'V_0,9pu_DIG'!$N$31/V_1pu_DIG!$D$22</f>
        <v>8.7725513884859524E-2</v>
      </c>
      <c r="AH32" s="41">
        <f>'V_0,9pu_DIG'!$N$32/V_1pu_DIG!$D$22</f>
        <v>8.7725513884859524E-2</v>
      </c>
      <c r="AI32" s="41">
        <f>'V_0,9pu_DIG'!$N$33/V_1pu_DIG!$D$22</f>
        <v>8.7725513884859524E-2</v>
      </c>
      <c r="AJ32" s="41">
        <f>'V_0,9pu_DIG'!$N$34/V_1pu_DIG!$D$22</f>
        <v>8.7725513884859524E-2</v>
      </c>
      <c r="AK32" s="41">
        <f>'V_0,9pu_DIG'!$N$35/V_1pu_DIG!$D$22</f>
        <v>8.7725513884859524E-2</v>
      </c>
      <c r="AL32" s="41">
        <f>'V_0,9pu_DIG'!$N$36/V_1pu_DIG!$D$22</f>
        <v>8.7725513884859524E-2</v>
      </c>
    </row>
    <row r="33" spans="1:38">
      <c r="A33">
        <v>19.5</v>
      </c>
      <c r="C33" s="29">
        <v>1.0725</v>
      </c>
      <c r="E33" s="36">
        <v>0.92</v>
      </c>
      <c r="F33" s="39">
        <f>'V_0,92pu_DIG'!$N$4/V_1pu_DIG!$D$22</f>
        <v>1.0089437360397995</v>
      </c>
      <c r="G33" s="40">
        <f>'V_0,92pu_DIG'!$N$5/V_1pu_DIG!$D$22</f>
        <v>1.0072933473790102</v>
      </c>
      <c r="H33" s="40">
        <f>'V_0,92pu_DIG'!$N$6/V_1pu_DIG!$D$22</f>
        <v>1.0023242355130224</v>
      </c>
      <c r="I33" s="40">
        <f>'V_0,92pu_DIG'!$N$7/V_1pu_DIG!$D$22</f>
        <v>0.99398157271325827</v>
      </c>
      <c r="J33" s="40">
        <f>'V_0,92pu_DIG'!$N$8/V_1pu_DIG!$D$22</f>
        <v>0.9821705488354201</v>
      </c>
      <c r="K33" s="40">
        <f>'V_0,92pu_DIG'!$N$9/V_1pu_DIG!$D$22</f>
        <v>0.96675073739646555</v>
      </c>
      <c r="L33" s="40">
        <f>'V_0,92pu_DIG'!$N$10/V_1pu_DIG!$D$22</f>
        <v>0.94752710465569268</v>
      </c>
      <c r="M33" s="40">
        <f>'V_0,92pu_DIG'!$N$11/V_1pu_DIG!$D$22</f>
        <v>0.92423620670382045</v>
      </c>
      <c r="N33" s="40">
        <f>'V_0,92pu_DIG'!$N$12/V_1pu_DIG!$D$22</f>
        <v>0.89652502633693698</v>
      </c>
      <c r="O33" s="40">
        <f>'V_0,92pu_DIG'!$N$13/V_1pu_DIG!$D$22</f>
        <v>0.86391786199587695</v>
      </c>
      <c r="P33" s="40">
        <f>'V_0,92pu_DIG'!$N$14/V_1pu_DIG!$D$22</f>
        <v>0.82576259109185723</v>
      </c>
      <c r="Q33" s="40">
        <f>'V_0,92pu_DIG'!$N$15/V_1pu_DIG!$D$22</f>
        <v>0.78113873270950296</v>
      </c>
      <c r="R33" s="40">
        <f>'V_0,92pu_DIG'!$N$16/V_1pu_DIG!$D$22</f>
        <v>0.72868834333146626</v>
      </c>
      <c r="S33" s="40">
        <f>'V_0,92pu_DIG'!$N$17/V_1pu_DIG!$D$22</f>
        <v>0.66627216759616981</v>
      </c>
      <c r="T33" s="40">
        <f>'V_0,92pu_DIG'!$N$18/V_1pu_DIG!$D$22</f>
        <v>0.59016071604851961</v>
      </c>
      <c r="U33" s="40">
        <f>'V_0,92pu_DIG'!$N$19/V_1pu_DIG!$D$22</f>
        <v>0.49262939132422934</v>
      </c>
      <c r="V33" s="40">
        <f>'V_0,92pu_DIG'!$N$20/V_1pu_DIG!$D$22</f>
        <v>0.35050213470872221</v>
      </c>
      <c r="W33" s="40">
        <f>'V_0,92pu_DIG'!$N$21/V_1pu_DIG!$D$22</f>
        <v>0.29808038657375197</v>
      </c>
      <c r="X33" s="40">
        <f>'V_0,92pu_DIG'!$N$22/V_1pu_DIG!$D$22</f>
        <v>0.2252304300256229</v>
      </c>
      <c r="Y33" s="40">
        <f>'V_0,92pu_DIG'!$N$23/V_1pu_DIG!$D$22</f>
        <v>9.1667746854500132E-2</v>
      </c>
      <c r="Z33" s="41">
        <f>'V_0,92pu_DIG'!$N$24/V_1pu_DIG!$D$22</f>
        <v>9.1667746854500132E-2</v>
      </c>
      <c r="AA33" s="41">
        <f>'V_0,92pu_DIG'!$N$25/V_1pu_DIG!$D$22</f>
        <v>9.1667746854500132E-2</v>
      </c>
      <c r="AB33" s="41">
        <f>'V_0,92pu_DIG'!$N$26/V_1pu_DIG!$D$22</f>
        <v>9.1667746854500132E-2</v>
      </c>
      <c r="AC33" s="41">
        <f>'V_0,92pu_DIG'!$N$27/V_1pu_DIG!$D$22</f>
        <v>9.1667746854500132E-2</v>
      </c>
      <c r="AD33" s="41">
        <f>'V_0,92pu_DIG'!$N$28/V_1pu_DIG!$D$22</f>
        <v>9.1667746854500132E-2</v>
      </c>
      <c r="AE33" s="41">
        <f>'V_0,92pu_DIG'!$N$29/V_1pu_DIG!$D$22</f>
        <v>9.1667746854500132E-2</v>
      </c>
      <c r="AF33" s="41">
        <f>'V_0,92pu_DIG'!$N$30/V_1pu_DIG!$D$22</f>
        <v>9.1667746854500132E-2</v>
      </c>
      <c r="AG33" s="41">
        <f>'V_0,92pu_DIG'!$N$31/V_1pu_DIG!$D$22</f>
        <v>9.1667746854500132E-2</v>
      </c>
      <c r="AH33" s="41">
        <f>'V_0,92pu_DIG'!$N$32/V_1pu_DIG!$D$22</f>
        <v>9.1667746854500132E-2</v>
      </c>
      <c r="AI33" s="41">
        <f>'V_0,92pu_DIG'!$N$33/V_1pu_DIG!$D$22</f>
        <v>9.1667746854500132E-2</v>
      </c>
      <c r="AJ33" s="41">
        <f>'V_0,92pu_DIG'!$N$34/V_1pu_DIG!$D$22</f>
        <v>9.1667746854500132E-2</v>
      </c>
      <c r="AK33" s="41">
        <f>'V_0,92pu_DIG'!$N$35/V_1pu_DIG!$D$22</f>
        <v>9.1667746854500132E-2</v>
      </c>
      <c r="AL33" s="41">
        <f>'V_0,92pu_DIG'!$N$36/V_1pu_DIG!$D$22</f>
        <v>9.1667746854500132E-2</v>
      </c>
    </row>
    <row r="34" spans="1:38">
      <c r="A34">
        <v>19.75</v>
      </c>
      <c r="C34" s="29">
        <v>1.0862499999999999</v>
      </c>
      <c r="E34" s="36">
        <v>0.94</v>
      </c>
      <c r="F34" s="39">
        <f>'V_0,94pu_DIG'!$N$4/V_1pu_DIG!$D$22</f>
        <v>1.0329133938658828</v>
      </c>
      <c r="G34" s="40">
        <f>'V_0,94pu_DIG'!$N$5/V_1pu_DIG!$D$22</f>
        <v>1.0312981811402757</v>
      </c>
      <c r="H34" s="40">
        <f>'V_0,94pu_DIG'!$N$6/V_1pu_DIG!$D$22</f>
        <v>1.0264357247902121</v>
      </c>
      <c r="I34" s="40">
        <f>'V_0,94pu_DIG'!$N$7/V_1pu_DIG!$D$22</f>
        <v>1.0182746823600535</v>
      </c>
      <c r="J34" s="40">
        <f>'V_0,94pu_DIG'!$N$8/V_1pu_DIG!$D$22</f>
        <v>1.0067264115517074</v>
      </c>
      <c r="K34" s="40">
        <f>'V_0,94pu_DIG'!$N$9/V_1pu_DIG!$D$22</f>
        <v>0.99165994571441263</v>
      </c>
      <c r="L34" s="40">
        <f>'V_0,94pu_DIG'!$N$10/V_1pu_DIG!$D$22</f>
        <v>0.97289402135196779</v>
      </c>
      <c r="M34" s="40">
        <f>'V_0,94pu_DIG'!$N$11/V_1pu_DIG!$D$22</f>
        <v>0.95018493521201386</v>
      </c>
      <c r="N34" s="40">
        <f>'V_0,94pu_DIG'!$N$12/V_1pu_DIG!$D$22</f>
        <v>0.92320811883817033</v>
      </c>
      <c r="O34" s="40">
        <f>'V_0,94pu_DIG'!$N$13/V_1pu_DIG!$D$22</f>
        <v>0.89152969330320964</v>
      </c>
      <c r="P34" s="40">
        <f>'V_0,94pu_DIG'!$N$14/V_1pu_DIG!$D$22</f>
        <v>0.8545610877362747</v>
      </c>
      <c r="Q34" s="40">
        <f>'V_0,94pu_DIG'!$N$15/V_1pu_DIG!$D$22</f>
        <v>0.81148309667715723</v>
      </c>
      <c r="R34" s="40">
        <f>'V_0,94pu_DIG'!$N$16/V_1pu_DIG!$D$22</f>
        <v>0.7611102357019025</v>
      </c>
      <c r="S34" s="40">
        <f>'V_0,94pu_DIG'!$N$17/V_1pu_DIG!$D$22</f>
        <v>0.70162588954143712</v>
      </c>
      <c r="T34" s="40">
        <f>'V_0,94pu_DIG'!$N$18/V_1pu_DIG!$D$22</f>
        <v>0.62999548707396114</v>
      </c>
      <c r="U34" s="40">
        <f>'V_0,94pu_DIG'!$N$19/V_1pu_DIG!$D$22</f>
        <v>0.54038783752410435</v>
      </c>
      <c r="V34" s="40">
        <f>'V_0,94pu_DIG'!$N$20/V_1pu_DIG!$D$22</f>
        <v>0.41814859840773333</v>
      </c>
      <c r="W34" s="40">
        <f>'V_0,94pu_DIG'!$N$21/V_1pu_DIG!$D$22</f>
        <v>0.37780690994512989</v>
      </c>
      <c r="X34" s="40">
        <f>'V_0,94pu_DIG'!$N$22/V_1pu_DIG!$D$22</f>
        <v>0.3298312564200877</v>
      </c>
      <c r="Y34" s="40">
        <f>'V_0,94pu_DIG'!$N$23/V_1pu_DIG!$D$22</f>
        <v>0.26795722253604454</v>
      </c>
      <c r="Z34" s="41">
        <f>'V_0,94pu_DIG'!$N$24/V_1pu_DIG!$D$22</f>
        <v>0.16011926499784759</v>
      </c>
      <c r="AA34" s="41">
        <f>'V_0,94pu_DIG'!$N$25/V_1pu_DIG!$D$22</f>
        <v>9.569662230698997E-2</v>
      </c>
      <c r="AB34" s="41">
        <f>'V_0,94pu_DIG'!$N$26/V_1pu_DIG!$D$22</f>
        <v>9.569662230698997E-2</v>
      </c>
      <c r="AC34" s="41">
        <f>'V_0,94pu_DIG'!$N$27/V_1pu_DIG!$D$22</f>
        <v>9.569662230698997E-2</v>
      </c>
      <c r="AD34" s="41">
        <f>'V_0,94pu_DIG'!$N$28/V_1pu_DIG!$D$22</f>
        <v>9.569662230698997E-2</v>
      </c>
      <c r="AE34" s="41">
        <f>'V_0,94pu_DIG'!$N$29/V_1pu_DIG!$D$22</f>
        <v>9.569662230698997E-2</v>
      </c>
      <c r="AF34" s="41">
        <f>'V_0,94pu_DIG'!$N$30/V_1pu_DIG!$D$22</f>
        <v>9.569662230698997E-2</v>
      </c>
      <c r="AG34" s="41">
        <f>'V_0,94pu_DIG'!$N$31/V_1pu_DIG!$D$22</f>
        <v>9.569662230698997E-2</v>
      </c>
      <c r="AH34" s="41">
        <f>'V_0,94pu_DIG'!$N$32/V_1pu_DIG!$D$22</f>
        <v>9.569662230698997E-2</v>
      </c>
      <c r="AI34" s="41">
        <f>'V_0,94pu_DIG'!$N$33/V_1pu_DIG!$D$22</f>
        <v>9.569662230698997E-2</v>
      </c>
      <c r="AJ34" s="41">
        <f>'V_0,94pu_DIG'!$N$34/V_1pu_DIG!$D$22</f>
        <v>9.569662230698997E-2</v>
      </c>
      <c r="AK34" s="41">
        <f>'V_0,94pu_DIG'!$N$35/V_1pu_DIG!$D$22</f>
        <v>9.569662230698997E-2</v>
      </c>
      <c r="AL34" s="41">
        <f>'V_0,94pu_DIG'!$N$36/V_1pu_DIG!$D$22</f>
        <v>9.569662230698997E-2</v>
      </c>
    </row>
    <row r="35" spans="1:38">
      <c r="A35">
        <v>20</v>
      </c>
      <c r="C35" s="29">
        <v>1.1000000000000001</v>
      </c>
      <c r="E35" s="36">
        <v>0.96</v>
      </c>
      <c r="F35" s="39">
        <f>'V_0,96pu_DIG'!$N$4/V_1pu_DIG!$D$22</f>
        <v>1.0569696941748155</v>
      </c>
      <c r="G35" s="40">
        <f>'V_0,96pu_DIG'!$N$5/V_1pu_DIG!$D$22</f>
        <v>1.0553881880009681</v>
      </c>
      <c r="H35" s="40">
        <f>'V_0,96pu_DIG'!$N$6/V_1pu_DIG!$D$22</f>
        <v>1.0506278863519631</v>
      </c>
      <c r="I35" s="40">
        <f>'V_0,96pu_DIG'!$N$7/V_1pu_DIG!$D$22</f>
        <v>1.0426406416411891</v>
      </c>
      <c r="J35" s="40">
        <f>'V_0,96pu_DIG'!$N$8/V_1pu_DIG!$D$22</f>
        <v>1.031343451068766</v>
      </c>
      <c r="K35" s="40">
        <f>'V_0,96pu_DIG'!$N$9/V_1pu_DIG!$D$22</f>
        <v>1.0166139634571503</v>
      </c>
      <c r="L35" s="40">
        <f>'V_0,96pu_DIG'!$N$10/V_1pu_DIG!$D$22</f>
        <v>0.99828338800155492</v>
      </c>
      <c r="M35" s="40">
        <f>'V_0,96pu_DIG'!$N$11/V_1pu_DIG!$D$22</f>
        <v>0.97612577305310544</v>
      </c>
      <c r="N35" s="40">
        <f>'V_0,96pu_DIG'!$N$12/V_1pu_DIG!$D$22</f>
        <v>0.94984189445686273</v>
      </c>
      <c r="O35" s="40">
        <f>'V_0,96pu_DIG'!$N$13/V_1pu_DIG!$D$22</f>
        <v>0.91903468818032397</v>
      </c>
      <c r="P35" s="40">
        <f>'V_0,96pu_DIG'!$N$14/V_1pu_DIG!$D$22</f>
        <v>0.88317066802511923</v>
      </c>
      <c r="Q35" s="40">
        <f>'V_0,96pu_DIG'!$N$15/V_1pu_DIG!$D$22</f>
        <v>0.84151665219437344</v>
      </c>
      <c r="R35" s="40">
        <f>'V_0,96pu_DIG'!$N$16/V_1pu_DIG!$D$22</f>
        <v>0.79302969848073701</v>
      </c>
      <c r="S35" s="40">
        <f>'V_0,96pu_DIG'!$N$17/V_1pu_DIG!$D$22</f>
        <v>0.73614977314645036</v>
      </c>
      <c r="T35" s="40">
        <f>'V_0,96pu_DIG'!$N$18/V_1pu_DIG!$D$22</f>
        <v>0.66836344228113409</v>
      </c>
      <c r="U35" s="40">
        <f>'V_0,96pu_DIG'!$N$19/V_1pu_DIG!$D$22</f>
        <v>0.58512192074342351</v>
      </c>
      <c r="V35" s="40">
        <f>'V_0,96pu_DIG'!$N$20/V_1pu_DIG!$D$22</f>
        <v>0.47630992649082832</v>
      </c>
      <c r="W35" s="40">
        <f>'V_0,96pu_DIG'!$N$21/V_1pu_DIG!$D$22</f>
        <v>0.44239281767469751</v>
      </c>
      <c r="X35" s="40">
        <f>'V_0,96pu_DIG'!$N$22/V_1pu_DIG!$D$22</f>
        <v>0.40410530981736337</v>
      </c>
      <c r="Y35" s="40">
        <f>'V_0,96pu_DIG'!$N$23/V_1pu_DIG!$D$22</f>
        <v>0.35952163284901167</v>
      </c>
      <c r="Z35" s="41">
        <f>'V_0,96pu_DIG'!$N$24/V_1pu_DIG!$D$22</f>
        <v>0.30456951629999474</v>
      </c>
      <c r="AA35" s="41">
        <f>'V_0,96pu_DIG'!$N$25/V_1pu_DIG!$D$22</f>
        <v>0.22639816060010937</v>
      </c>
      <c r="AB35" s="41">
        <f>'V_0,96pu_DIG'!$N$26/V_1pu_DIG!$D$22</f>
        <v>9.9812140242329039E-2</v>
      </c>
      <c r="AC35" s="41">
        <f>'V_0,96pu_DIG'!$N$27/V_1pu_DIG!$D$22</f>
        <v>9.9812140242329039E-2</v>
      </c>
      <c r="AD35" s="41">
        <f>'V_0,96pu_DIG'!$N$28/V_1pu_DIG!$D$22</f>
        <v>9.9812140242329039E-2</v>
      </c>
      <c r="AE35" s="41">
        <f>'V_0,96pu_DIG'!$N$29/V_1pu_DIG!$D$22</f>
        <v>9.9812140242329039E-2</v>
      </c>
      <c r="AF35" s="41">
        <f>'V_0,96pu_DIG'!$N$30/V_1pu_DIG!$D$22</f>
        <v>9.9812140242329039E-2</v>
      </c>
      <c r="AG35" s="41">
        <f>'V_0,96pu_DIG'!$N$31/V_1pu_DIG!$D$22</f>
        <v>9.9812140242329039E-2</v>
      </c>
      <c r="AH35" s="41">
        <f>'V_0,96pu_DIG'!$N$32/V_1pu_DIG!$D$22</f>
        <v>9.9812140242329039E-2</v>
      </c>
      <c r="AI35" s="41">
        <f>'V_0,96pu_DIG'!$N$33/V_1pu_DIG!$D$22</f>
        <v>9.9812140242329039E-2</v>
      </c>
      <c r="AJ35" s="41">
        <f>'V_0,96pu_DIG'!$N$34/V_1pu_DIG!$D$22</f>
        <v>9.9812140242329039E-2</v>
      </c>
      <c r="AK35" s="41">
        <f>'V_0,96pu_DIG'!$N$35/V_1pu_DIG!$D$22</f>
        <v>9.9812140242329039E-2</v>
      </c>
      <c r="AL35" s="41">
        <f>'V_0,96pu_DIG'!$N$36/V_1pu_DIG!$D$22</f>
        <v>9.9812140242329039E-2</v>
      </c>
    </row>
    <row r="36" spans="1:38">
      <c r="E36" s="36">
        <v>0.98</v>
      </c>
      <c r="F36" s="39">
        <f>'V_0,98pu_DIG'!$N$4/V_1pu_DIG!$D$22</f>
        <v>1.0811126369665971</v>
      </c>
      <c r="G36" s="40">
        <f>'V_0,98pu_DIG'!$N$5/V_1pu_DIG!$D$22</f>
        <v>1.0795634582185096</v>
      </c>
      <c r="H36" s="40">
        <f>'V_0,98pu_DIG'!$N$6/V_1pu_DIG!$D$22</f>
        <v>1.0749010905655552</v>
      </c>
      <c r="I36" s="40">
        <f>'V_0,98pu_DIG'!$N$7/V_1pu_DIG!$D$22</f>
        <v>1.0670803206259758</v>
      </c>
      <c r="J36" s="40">
        <f>'V_0,98pu_DIG'!$N$8/V_1pu_DIG!$D$22</f>
        <v>1.0560233125990122</v>
      </c>
      <c r="K36" s="40">
        <f>'V_0,98pu_DIG'!$N$9/V_1pu_DIG!$D$22</f>
        <v>1.0416155798896516</v>
      </c>
      <c r="L36" s="40">
        <f>'V_0,98pu_DIG'!$N$10/V_1pu_DIG!$D$22</f>
        <v>1.0236996592544818</v>
      </c>
      <c r="M36" s="40">
        <f>'V_0,98pu_DIG'!$N$11/V_1pu_DIG!$D$22</f>
        <v>1.0020656125643022</v>
      </c>
      <c r="N36" s="40">
        <f>'V_0,98pu_DIG'!$N$12/V_1pu_DIG!$D$22</f>
        <v>0.97643688107215998</v>
      </c>
      <c r="O36" s="40">
        <f>'V_0,98pu_DIG'!$N$13/V_1pu_DIG!$D$22</f>
        <v>0.94644896211035889</v>
      </c>
      <c r="P36" s="40">
        <f>'V_0,98pu_DIG'!$N$14/V_1pu_DIG!$D$22</f>
        <v>0.91161640492480744</v>
      </c>
      <c r="Q36" s="40">
        <f>'V_0,98pu_DIG'!$N$15/V_1pu_DIG!$D$22</f>
        <v>0.87127967770558445</v>
      </c>
      <c r="R36" s="40">
        <f>'V_0,98pu_DIG'!$N$16/V_1pu_DIG!$D$22</f>
        <v>0.82451493134178844</v>
      </c>
      <c r="S36" s="40">
        <f>'V_0,98pu_DIG'!$N$17/V_1pu_DIG!$D$22</f>
        <v>0.76996937332841831</v>
      </c>
      <c r="T36" s="40">
        <f>'V_0,98pu_DIG'!$N$18/V_1pu_DIG!$D$22</f>
        <v>0.70553001850345887</v>
      </c>
      <c r="U36" s="40">
        <f>'V_0,98pu_DIG'!$N$19/V_1pu_DIG!$D$22</f>
        <v>0.627556236719234</v>
      </c>
      <c r="V36" s="40">
        <f>'V_0,98pu_DIG'!$N$20/V_1pu_DIG!$D$22</f>
        <v>0.52865668998606452</v>
      </c>
      <c r="W36" s="40">
        <f>'V_0,98pu_DIG'!$N$21/V_1pu_DIG!$D$22</f>
        <v>0.49889668354447086</v>
      </c>
      <c r="X36" s="40">
        <f>'V_0,98pu_DIG'!$N$22/V_1pu_DIG!$D$22</f>
        <v>0.46618126327874032</v>
      </c>
      <c r="Y36" s="40">
        <f>'V_0,98pu_DIG'!$N$23/V_1pu_DIG!$D$22</f>
        <v>0.42962080598881897</v>
      </c>
      <c r="Z36" s="41">
        <f>'V_0,98pu_DIG'!$N$24/V_1pu_DIG!$D$22</f>
        <v>0.38773275055778622</v>
      </c>
      <c r="AA36" s="41">
        <f>'V_0,98pu_DIG'!$N$25/V_1pu_DIG!$D$22</f>
        <v>0.33766916646071665</v>
      </c>
      <c r="AB36" s="41">
        <f>'V_0,98pu_DIG'!$N$26/V_1pu_DIG!$D$22</f>
        <v>0.27228464508314326</v>
      </c>
      <c r="AC36" s="41">
        <f>'V_0,98pu_DIG'!$N$27/V_1pu_DIG!$D$22</f>
        <v>0.14472174853076442</v>
      </c>
      <c r="AD36" s="41">
        <f>'V_0,98pu_DIG'!$N$28/V_1pu_DIG!$D$22</f>
        <v>0.10401430066051739</v>
      </c>
      <c r="AE36" s="41">
        <f>'V_0,98pu_DIG'!$N$29/V_1pu_DIG!$D$22</f>
        <v>0.10401430066051739</v>
      </c>
      <c r="AF36" s="41">
        <f>'V_0,98pu_DIG'!$N$30/V_1pu_DIG!$D$22</f>
        <v>0.10401430066051739</v>
      </c>
      <c r="AG36" s="41">
        <f>'V_0,98pu_DIG'!$N$31/V_1pu_DIG!$D$22</f>
        <v>0.10401430066051739</v>
      </c>
      <c r="AH36" s="41">
        <f>'V_0,98pu_DIG'!$N$32/V_1pu_DIG!$D$22</f>
        <v>0.10401430066051739</v>
      </c>
      <c r="AI36" s="41">
        <f>'V_0,98pu_DIG'!$N$33/V_1pu_DIG!$D$22</f>
        <v>0.10401430066051739</v>
      </c>
      <c r="AJ36" s="41">
        <f>'V_0,98pu_DIG'!$N$34/V_1pu_DIG!$D$22</f>
        <v>0.10401430066051739</v>
      </c>
      <c r="AK36" s="41">
        <f>'V_0,98pu_DIG'!$N$35/V_1pu_DIG!$D$22</f>
        <v>0.10401430066051739</v>
      </c>
      <c r="AL36" s="41">
        <f>'V_0,98pu_DIG'!$N$36/V_1pu_DIG!$D$22</f>
        <v>0.10401430066051739</v>
      </c>
    </row>
    <row r="37" spans="1:38">
      <c r="E37" s="36">
        <v>1</v>
      </c>
      <c r="F37" s="39">
        <f>V_1pu_DIG!$N$4/V_1pu_DIG!$D$22</f>
        <v>1.1053422222412281</v>
      </c>
      <c r="G37" s="40">
        <f>V_1pu_DIG!$N$5/V_1pu_DIG!$D$22</f>
        <v>1.1038240748010058</v>
      </c>
      <c r="H37" s="40">
        <f>V_1pu_DIG!$N$6/V_1pu_DIG!$D$22</f>
        <v>1.0992556776929003</v>
      </c>
      <c r="I37" s="40">
        <f>V_1pu_DIG!$N$7/V_1pu_DIG!$D$22</f>
        <v>1.0915945172215844</v>
      </c>
      <c r="J37" s="40">
        <f>V_1pu_DIG!$N$8/V_1pu_DIG!$D$22</f>
        <v>1.080767500944585</v>
      </c>
      <c r="K37" s="40">
        <f>V_1pu_DIG!$N$9/V_1pu_DIG!$D$22</f>
        <v>1.0666673371270297</v>
      </c>
      <c r="L37" s="40">
        <f>V_1pu_DIG!$N$10/V_1pu_DIG!$D$22</f>
        <v>1.0491468760219669</v>
      </c>
      <c r="M37" s="40">
        <f>V_1pu_DIG!$N$11/V_1pu_DIG!$D$22</f>
        <v>1.0280106680501482</v>
      </c>
      <c r="N37" s="40">
        <f>V_1pu_DIG!$N$12/V_1pu_DIG!$D$22</f>
        <v>1.0030024967532234</v>
      </c>
      <c r="O37" s="40">
        <f>V_1pu_DIG!$N$13/V_1pu_DIG!$D$22</f>
        <v>0.97378678577488231</v>
      </c>
      <c r="P37" s="40">
        <f>V_1pu_DIG!$N$14/V_1pu_DIG!$D$22</f>
        <v>0.93992020546455202</v>
      </c>
      <c r="Q37" s="40">
        <f>V_1pu_DIG!$N$15/V_1pu_DIG!$D$22</f>
        <v>0.90080673394916388</v>
      </c>
      <c r="R37" s="40">
        <f>V_1pu_DIG!$N$16/V_1pu_DIG!$D$22</f>
        <v>0.855622984320484</v>
      </c>
      <c r="S37" s="40">
        <f>V_1pu_DIG!$N$17/V_1pu_DIG!$D$22</f>
        <v>0.8031858304857028</v>
      </c>
      <c r="T37" s="40">
        <f>V_1pu_DIG!$N$18/V_1pu_DIG!$D$22</f>
        <v>0.7416963496398028</v>
      </c>
      <c r="U37" s="40">
        <f>V_1pu_DIG!$N$19/V_1pu_DIG!$D$22</f>
        <v>0.66817987944848156</v>
      </c>
      <c r="V37" s="40">
        <f>V_1pu_DIG!$N$20/V_1pu_DIG!$D$22</f>
        <v>0.577010906118265</v>
      </c>
      <c r="W37" s="40">
        <f>V_1pu_DIG!$N$21/V_1pu_DIG!$D$22</f>
        <v>0.5502283706345521</v>
      </c>
      <c r="X37" s="40">
        <f>V_1pu_DIG!$N$22/V_1pu_DIG!$D$22</f>
        <v>0.52125679851722428</v>
      </c>
      <c r="Y37" s="40">
        <f>V_1pu_DIG!$N$23/V_1pu_DIG!$D$22</f>
        <v>0.48959753268102141</v>
      </c>
      <c r="Z37" s="41">
        <f>V_1pu_DIG!$N$24/V_1pu_DIG!$D$22</f>
        <v>0.45451402796680773</v>
      </c>
      <c r="AA37" s="41">
        <f>V_1pu_DIG!$N$25/V_1pu_DIG!$D$22</f>
        <v>0.41483277859733303</v>
      </c>
      <c r="AB37" s="41">
        <f>V_1pu_DIG!$N$26/V_1pu_DIG!$D$22</f>
        <v>0.36845835370565577</v>
      </c>
      <c r="AC37" s="41">
        <f>V_1pu_DIG!$N$27/V_1pu_DIG!$D$22</f>
        <v>0.31084431338696178</v>
      </c>
      <c r="AD37" s="41">
        <f>V_1pu_DIG!$N$28/V_1pu_DIG!$D$22</f>
        <v>0.22656976909981871</v>
      </c>
      <c r="AE37" s="41">
        <f>V_1pu_DIG!$N$29/V_1pu_DIG!$D$22</f>
        <v>0.10830310356155498</v>
      </c>
      <c r="AF37" s="41">
        <f>V_1pu_DIG!$N$30/V_1pu_DIG!$D$22</f>
        <v>0.10830310356155498</v>
      </c>
      <c r="AG37" s="41">
        <f>V_1pu_DIG!$N$31/V_1pu_DIG!$D$22</f>
        <v>0.10830310356155498</v>
      </c>
      <c r="AH37" s="41">
        <f>V_1pu_DIG!$N$32/V_1pu_DIG!$D$22</f>
        <v>0.10830310356155498</v>
      </c>
      <c r="AI37" s="41">
        <f>V_1pu_DIG!$N$33/V_1pu_DIG!$D$22</f>
        <v>0.10830310356155498</v>
      </c>
      <c r="AJ37" s="41">
        <f>V_1pu_DIG!$N$34/V_1pu_DIG!$D$22</f>
        <v>0.10830310356155498</v>
      </c>
      <c r="AK37" s="41">
        <f>V_1pu_DIG!$N$35/V_1pu_DIG!$D$22</f>
        <v>0.10830310356155498</v>
      </c>
      <c r="AL37" s="41">
        <f>V_1pu_DIG!$N$36/V_1pu_DIG!$D$22</f>
        <v>0.10830310356155498</v>
      </c>
    </row>
    <row r="38" spans="1:38">
      <c r="E38" s="36">
        <v>1.02</v>
      </c>
      <c r="F38" s="39">
        <f>'V_1,02pu_DIG'!$N$4/V_1pu_DIG!$D$22</f>
        <v>1.1296584499987086</v>
      </c>
      <c r="G38" s="40">
        <f>'V_1,02pu_DIG'!$N$5/V_1pu_DIG!$D$22</f>
        <v>1.1281701142212506</v>
      </c>
      <c r="H38" s="40">
        <f>'V_1,02pu_DIG'!$N$6/V_1pu_DIG!$D$22</f>
        <v>1.1236919608971883</v>
      </c>
      <c r="I38" s="40">
        <f>'V_1,02pu_DIG'!$N$7/V_1pu_DIG!$D$22</f>
        <v>1.1161839645493199</v>
      </c>
      <c r="J38" s="40">
        <f>'V_1,02pu_DIG'!$N$8/V_1pu_DIG!$D$22</f>
        <v>1.1055773953272432</v>
      </c>
      <c r="K38" s="40">
        <f>'V_1,02pu_DIG'!$N$9/V_1pu_DIG!$D$22</f>
        <v>1.0917715573702351</v>
      </c>
      <c r="L38" s="40">
        <f>'V_1,02pu_DIG'!$N$10/V_1pu_DIG!$D$22</f>
        <v>1.0746287135310675</v>
      </c>
      <c r="M38" s="40">
        <f>'V_1,02pu_DIG'!$N$11/V_1pu_DIG!$D$22</f>
        <v>1.0539665596766485</v>
      </c>
      <c r="N38" s="40">
        <f>'V_1,02pu_DIG'!$N$12/V_1pu_DIG!$D$22</f>
        <v>1.0295471977421558</v>
      </c>
      <c r="O38" s="40">
        <f>'V_1,02pu_DIG'!$N$13/V_1pu_DIG!$D$22</f>
        <v>1.0010608535566448</v>
      </c>
      <c r="P38" s="40">
        <f>'V_1,02pu_DIG'!$N$14/V_1pu_DIG!$D$22</f>
        <v>0.96810132111503522</v>
      </c>
      <c r="Q38" s="40">
        <f>'V_1,02pu_DIG'!$N$15/V_1pu_DIG!$D$22</f>
        <v>0.93012770280536994</v>
      </c>
      <c r="R38" s="40">
        <f>'V_1,02pu_DIG'!$N$16/V_1pu_DIG!$D$22</f>
        <v>0.88640209075240539</v>
      </c>
      <c r="S38" s="40">
        <f>'V_1,02pu_DIG'!$N$17/V_1pu_DIG!$D$22</f>
        <v>0.83588192224116442</v>
      </c>
      <c r="T38" s="40">
        <f>'V_1,02pu_DIG'!$N$18/V_1pu_DIG!$D$22</f>
        <v>0.77701891287519143</v>
      </c>
      <c r="U38" s="40">
        <f>'V_1,02pu_DIG'!$N$19/V_1pu_DIG!$D$22</f>
        <v>0.70734073804637343</v>
      </c>
      <c r="V38" s="40">
        <f>'V_1,02pu_DIG'!$N$20/V_1pu_DIG!$D$22</f>
        <v>0.62243154711839255</v>
      </c>
      <c r="W38" s="40">
        <f>'V_1,02pu_DIG'!$N$21/V_1pu_DIG!$D$22</f>
        <v>0.59791978446269689</v>
      </c>
      <c r="X38" s="40">
        <f>'V_1,02pu_DIG'!$N$22/V_1pu_DIG!$D$22</f>
        <v>0.57169038882139989</v>
      </c>
      <c r="Y38" s="40">
        <f>'V_1,02pu_DIG'!$N$23/V_1pu_DIG!$D$22</f>
        <v>0.5434297029152394</v>
      </c>
      <c r="Z38" s="41">
        <f>'V_1,02pu_DIG'!$N$24/V_1pu_DIG!$D$22</f>
        <v>0.51270744683447178</v>
      </c>
      <c r="AA38" s="41">
        <f>'V_1,02pu_DIG'!$N$25/V_1pu_DIG!$D$22</f>
        <v>0.47890464938929617</v>
      </c>
      <c r="AB38" s="41">
        <f>'V_1,02pu_DIG'!$N$26/V_1pu_DIG!$D$22</f>
        <v>0.44107140688591545</v>
      </c>
      <c r="AC38" s="41">
        <f>'V_1,02pu_DIG'!$N$27/V_1pu_DIG!$D$22</f>
        <v>0.39760670944614041</v>
      </c>
      <c r="AD38" s="41">
        <f>'V_1,02pu_DIG'!$N$28/V_1pu_DIG!$D$22</f>
        <v>0.34537603313105125</v>
      </c>
      <c r="AE38" s="41">
        <f>'V_1,02pu_DIG'!$N$29/V_1pu_DIG!$D$22</f>
        <v>0.27618407376436666</v>
      </c>
      <c r="AF38" s="41">
        <f>'V_1,02pu_DIG'!$N$30/V_1pu_DIG!$D$22</f>
        <v>0.11267854894544181</v>
      </c>
      <c r="AG38" s="41">
        <f>'V_1,02pu_DIG'!$N$31/V_1pu_DIG!$D$22</f>
        <v>0.11267854894544181</v>
      </c>
      <c r="AH38" s="41">
        <f>'V_1,02pu_DIG'!$N$32/V_1pu_DIG!$D$22</f>
        <v>0.11267854894544181</v>
      </c>
      <c r="AI38" s="41">
        <f>'V_1,02pu_DIG'!$N$33/V_1pu_DIG!$D$22</f>
        <v>0.11267854894544181</v>
      </c>
      <c r="AJ38" s="41">
        <f>'V_1,02pu_DIG'!$N$34/V_1pu_DIG!$D$22</f>
        <v>0.11267854894544181</v>
      </c>
      <c r="AK38" s="41">
        <f>'V_1,02pu_DIG'!$N$35/V_1pu_DIG!$D$22</f>
        <v>0.11267854894544181</v>
      </c>
      <c r="AL38" s="41">
        <f>'V_1,02pu_DIG'!$N$36/V_1pu_DIG!$D$22</f>
        <v>0.11267854894544181</v>
      </c>
    </row>
    <row r="39" spans="1:38">
      <c r="E39" s="36">
        <v>1.04</v>
      </c>
      <c r="F39" s="39">
        <f>'V_1,04pu_DIG'!$N$4/V_1pu_DIG!$D$22</f>
        <v>1.1540613202390382</v>
      </c>
      <c r="G39" s="40">
        <f>'V_1,04pu_DIG'!$N$5/V_1pu_DIG!$D$22</f>
        <v>1.1526016470479217</v>
      </c>
      <c r="H39" s="40">
        <f>'V_1,04pu_DIG'!$N$6/V_1pu_DIG!$D$22</f>
        <v>1.1482102288952858</v>
      </c>
      <c r="I39" s="40">
        <f>'V_1,04pu_DIG'!$N$7/V_1pu_DIG!$D$22</f>
        <v>1.1408493374289241</v>
      </c>
      <c r="J39" s="40">
        <f>'V_1,04pu_DIG'!$N$8/V_1pu_DIG!$D$22</f>
        <v>1.1304542623587936</v>
      </c>
      <c r="K39" s="40">
        <f>'V_1,04pu_DIG'!$N$9/V_1pu_DIG!$D$22</f>
        <v>1.1169303665646029</v>
      </c>
      <c r="L39" s="40">
        <f>'V_1,04pu_DIG'!$N$10/V_1pu_DIG!$D$22</f>
        <v>1.1001485227003975</v>
      </c>
      <c r="M39" s="40">
        <f>'V_1,04pu_DIG'!$N$11/V_1pu_DIG!$D$22</f>
        <v>1.0799383848976347</v>
      </c>
      <c r="N39" s="40">
        <f>'V_1,04pu_DIG'!$N$12/V_1pu_DIG!$D$22</f>
        <v>1.0560786026642499</v>
      </c>
      <c r="O39" s="40">
        <f>'V_1,04pu_DIG'!$N$13/V_1pu_DIG!$D$22</f>
        <v>1.028282504864803</v>
      </c>
      <c r="P39" s="40">
        <f>'V_1,04pu_DIG'!$N$14/V_1pu_DIG!$D$22</f>
        <v>0.99617675877670042</v>
      </c>
      <c r="Q39" s="40">
        <f>'V_1,04pu_DIG'!$N$15/V_1pu_DIG!$D$22</f>
        <v>0.95926859841802981</v>
      </c>
      <c r="R39" s="40">
        <f>'V_1,04pu_DIG'!$N$16/V_1pu_DIG!$D$22</f>
        <v>0.91689341343657149</v>
      </c>
      <c r="S39" s="40">
        <f>'V_1,04pu_DIG'!$N$17/V_1pu_DIG!$D$22</f>
        <v>0.86812632490378661</v>
      </c>
      <c r="T39" s="40">
        <f>'V_1,04pu_DIG'!$N$18/V_1pu_DIG!$D$22</f>
        <v>0.81162210072495022</v>
      </c>
      <c r="U39" s="40">
        <f>'V_1,04pu_DIG'!$N$19/V_1pu_DIG!$D$22</f>
        <v>0.74529627335333559</v>
      </c>
      <c r="V39" s="40">
        <f>'V_1,04pu_DIG'!$N$20/V_1pu_DIG!$D$22</f>
        <v>0.66559711067170613</v>
      </c>
      <c r="W39" s="40">
        <f>'V_1,04pu_DIG'!$N$21/V_1pu_DIG!$D$22</f>
        <v>0.64289289902169722</v>
      </c>
      <c r="X39" s="40">
        <f>'V_1,04pu_DIG'!$N$22/V_1pu_DIG!$D$22</f>
        <v>0.61878618270930552</v>
      </c>
      <c r="Y39" s="40">
        <f>'V_1,04pu_DIG'!$N$23/V_1pu_DIG!$D$22</f>
        <v>0.59306388820721878</v>
      </c>
      <c r="Z39" s="41">
        <f>'V_1,04pu_DIG'!$N$24/V_1pu_DIG!$D$22</f>
        <v>0.56544801319408289</v>
      </c>
      <c r="AA39" s="41">
        <f>'V_1,04pu_DIG'!$N$25/V_1pu_DIG!$D$22</f>
        <v>0.53556379728304293</v>
      </c>
      <c r="AB39" s="41">
        <f>'V_1,04pu_DIG'!$N$26/V_1pu_DIG!$D$22</f>
        <v>0.50288440373320942</v>
      </c>
      <c r="AC39" s="41">
        <f>'V_1,04pu_DIG'!$N$27/V_1pu_DIG!$D$22</f>
        <v>0.46662660393879501</v>
      </c>
      <c r="AD39" s="41">
        <f>'V_1,04pu_DIG'!$N$28/V_1pu_DIG!$D$22</f>
        <v>0.42553081778171997</v>
      </c>
      <c r="AE39" s="41">
        <f>'V_1,04pu_DIG'!$N$29/V_1pu_DIG!$D$22</f>
        <v>0.3773145040979356</v>
      </c>
      <c r="AF39" s="41">
        <f>'V_1,04pu_DIG'!$N$30/V_1pu_DIG!$D$22</f>
        <v>0.31688610914741439</v>
      </c>
      <c r="AG39" s="41">
        <f>'V_1,04pu_DIG'!$N$31/V_1pu_DIG!$D$22</f>
        <v>0.22543625638391684</v>
      </c>
      <c r="AH39" s="41">
        <f>'V_1,04pu_DIG'!$N$32/V_1pu_DIG!$D$22</f>
        <v>0.1171406368121779</v>
      </c>
      <c r="AI39" s="41">
        <f>'V_1,04pu_DIG'!$N$33/V_1pu_DIG!$D$22</f>
        <v>0.1171406368121779</v>
      </c>
      <c r="AJ39" s="41">
        <f>'V_1,04pu_DIG'!$N$34/V_1pu_DIG!$D$22</f>
        <v>0.1171406368121779</v>
      </c>
      <c r="AK39" s="41">
        <f>'V_1,04pu_DIG'!$N$35/V_1pu_DIG!$D$22</f>
        <v>0.1171406368121779</v>
      </c>
      <c r="AL39" s="41">
        <f>'V_1,04pu_DIG'!$N$36/V_1pu_DIG!$D$22</f>
        <v>0.1171406368121779</v>
      </c>
    </row>
    <row r="40" spans="1:38">
      <c r="E40" s="36">
        <v>1.06</v>
      </c>
      <c r="F40" s="39">
        <f>'V_1,06pu_DIG'!$N$4/V_1pu_DIG!$D$22</f>
        <v>1.178550832962217</v>
      </c>
      <c r="G40" s="40">
        <f>'V_1,06pu_DIG'!$N$5/V_1pu_DIG!$D$22</f>
        <v>1.1771187385049544</v>
      </c>
      <c r="H40" s="40">
        <f>'V_1,06pu_DIG'!$N$6/V_1pu_DIG!$D$22</f>
        <v>1.1728107483037717</v>
      </c>
      <c r="I40" s="40">
        <f>'V_1,06pu_DIG'!$N$7/V_1pu_DIG!$D$22</f>
        <v>1.1655912580949506</v>
      </c>
      <c r="J40" s="40">
        <f>'V_1,06pu_DIG'!$N$8/V_1pu_DIG!$D$22</f>
        <v>1.1553992674209626</v>
      </c>
      <c r="K40" s="40">
        <f>'V_1,06pu_DIG'!$N$9/V_1pu_DIG!$D$22</f>
        <v>1.1421457150247591</v>
      </c>
      <c r="L40" s="40">
        <f>'V_1,06pu_DIG'!$N$10/V_1pu_DIG!$D$22</f>
        <v>1.1257093659137223</v>
      </c>
      <c r="M40" s="40">
        <f>'V_1,06pu_DIG'!$N$11/V_1pu_DIG!$D$22</f>
        <v>1.1059307795672175</v>
      </c>
      <c r="N40" s="40">
        <f>'V_1,06pu_DIG'!$N$12/V_1pu_DIG!$D$22</f>
        <v>1.0826035974101678</v>
      </c>
      <c r="O40" s="40">
        <f>'V_1,06pu_DIG'!$N$13/V_1pu_DIG!$D$22</f>
        <v>1.0554619079305971</v>
      </c>
      <c r="P40" s="40">
        <f>'V_1,06pu_DIG'!$N$14/V_1pu_DIG!$D$22</f>
        <v>1.0241616148757211</v>
      </c>
      <c r="Q40" s="40">
        <f>'V_1,06pu_DIG'!$N$15/V_1pu_DIG!$D$22</f>
        <v>0.98825220844558115</v>
      </c>
      <c r="R40" s="40">
        <f>'V_1,06pu_DIG'!$N$16/V_1pu_DIG!$D$22</f>
        <v>0.94713237421548102</v>
      </c>
      <c r="S40" s="40">
        <f>'V_1,06pu_DIG'!$N$17/V_1pu_DIG!$D$22</f>
        <v>0.89997669064447539</v>
      </c>
      <c r="T40" s="40">
        <f>'V_1,06pu_DIG'!$N$18/V_1pu_DIG!$D$22</f>
        <v>0.84560659854521636</v>
      </c>
      <c r="U40" s="40">
        <f>'V_1,06pu_DIG'!$N$19/V_1pu_DIG!$D$22</f>
        <v>0.78224304241751696</v>
      </c>
      <c r="V40" s="40">
        <f>'V_1,06pu_DIG'!$N$20/V_1pu_DIG!$D$22</f>
        <v>0.70697233965787476</v>
      </c>
      <c r="W40" s="40">
        <f>'V_1,06pu_DIG'!$N$21/V_1pu_DIG!$D$22</f>
        <v>0.68575239147188749</v>
      </c>
      <c r="X40" s="40">
        <f>'V_1,06pu_DIG'!$N$22/V_1pu_DIG!$D$22</f>
        <v>0.66335338469835747</v>
      </c>
      <c r="Y40" s="40">
        <f>'V_1,06pu_DIG'!$N$23/V_1pu_DIG!$D$22</f>
        <v>0.63962236996606792</v>
      </c>
      <c r="Z40" s="41">
        <f>'V_1,06pu_DIG'!$N$24/V_1pu_DIG!$D$22</f>
        <v>0.61436690662736915</v>
      </c>
      <c r="AA40" s="41">
        <f>'V_1,06pu_DIG'!$N$25/V_1pu_DIG!$D$22</f>
        <v>0.58733901592559912</v>
      </c>
      <c r="AB40" s="41">
        <f>'V_1,06pu_DIG'!$N$26/V_1pu_DIG!$D$22</f>
        <v>0.55820959337571974</v>
      </c>
      <c r="AC40" s="41">
        <f>'V_1,06pu_DIG'!$N$27/V_1pu_DIG!$D$22</f>
        <v>0.52652525415040885</v>
      </c>
      <c r="AD40" s="41">
        <f>'V_1,06pu_DIG'!$N$28/V_1pu_DIG!$D$22</f>
        <v>0.49163011632827991</v>
      </c>
      <c r="AE40" s="41">
        <f>'V_1,06pu_DIG'!$N$29/V_1pu_DIG!$D$22</f>
        <v>0.45250970419363878</v>
      </c>
      <c r="AF40" s="41">
        <f>'V_1,06pu_DIG'!$N$30/V_1pu_DIG!$D$22</f>
        <v>0.40743384723772802</v>
      </c>
      <c r="AG40" s="41">
        <f>'V_1,06pu_DIG'!$N$31/V_1pu_DIG!$D$22</f>
        <v>0.35294592467718483</v>
      </c>
      <c r="AH40" s="41">
        <f>'V_1,06pu_DIG'!$N$32/V_1pu_DIG!$D$22</f>
        <v>0.27958540224144313</v>
      </c>
      <c r="AI40" s="41">
        <f>'V_1,06pu_DIG'!$N$33/V_1pu_DIG!$D$22</f>
        <v>0.12168936716176319</v>
      </c>
      <c r="AJ40" s="41">
        <f>'V_1,06pu_DIG'!$N$34/V_1pu_DIG!$D$22</f>
        <v>0.12168936716176319</v>
      </c>
      <c r="AK40" s="41">
        <f>'V_1,06pu_DIG'!$N$35/V_1pu_DIG!$D$22</f>
        <v>0.12168936716176319</v>
      </c>
      <c r="AL40" s="41">
        <f>'V_1,06pu_DIG'!$N$36/V_1pu_DIG!$D$22</f>
        <v>0.12168936716176319</v>
      </c>
    </row>
    <row r="41" spans="1:38">
      <c r="E41" s="36">
        <v>1.08</v>
      </c>
      <c r="F41" s="39">
        <f>'V_1,08pu_DIG'!$N$4/V_1pu_DIG!$D$22</f>
        <v>1.2031269881682447</v>
      </c>
      <c r="G41" s="40">
        <f>'V_1,08pu_DIG'!$N$5/V_1pu_DIG!$D$22</f>
        <v>1.2017214489684638</v>
      </c>
      <c r="H41" s="40">
        <f>'V_1,08pu_DIG'!$N$6/V_1pu_DIG!$D$22</f>
        <v>1.1974937657192146</v>
      </c>
      <c r="I41" s="40">
        <f>'V_1,08pu_DIG'!$N$7/V_1pu_DIG!$D$22</f>
        <v>1.1904103012498151</v>
      </c>
      <c r="J41" s="40">
        <f>'V_1,08pu_DIG'!$N$8/V_1pu_DIG!$D$22</f>
        <v>1.1804134846797114</v>
      </c>
      <c r="K41" s="40">
        <f>'V_1,08pu_DIG'!$N$9/V_1pu_DIG!$D$22</f>
        <v>1.1674193954759566</v>
      </c>
      <c r="L41" s="40">
        <f>'V_1,08pu_DIG'!$N$10/V_1pu_DIG!$D$22</f>
        <v>1.1513140480714488</v>
      </c>
      <c r="M41" s="40">
        <f>'V_1,08pu_DIG'!$N$11/V_1pu_DIG!$D$22</f>
        <v>1.1319479704700466</v>
      </c>
      <c r="N41" s="40">
        <f>'V_1,08pu_DIG'!$N$12/V_1pu_DIG!$D$22</f>
        <v>1.1091284241919535</v>
      </c>
      <c r="O41" s="40">
        <f>'V_1,08pu_DIG'!$N$13/V_1pu_DIG!$D$22</f>
        <v>1.0826082134855481</v>
      </c>
      <c r="P41" s="40">
        <f>'V_1,08pu_DIG'!$N$14/V_1pu_DIG!$D$22</f>
        <v>1.0520693493075235</v>
      </c>
      <c r="Q41" s="40">
        <f>'V_1,08pu_DIG'!$N$15/V_1pu_DIG!$D$22</f>
        <v>1.0170986067374259</v>
      </c>
      <c r="R41" s="40">
        <f>'V_1,08pu_DIG'!$N$16/V_1pu_DIG!$D$22</f>
        <v>0.97714968184339068</v>
      </c>
      <c r="S41" s="40">
        <f>'V_1,08pu_DIG'!$N$17/V_1pu_DIG!$D$22</f>
        <v>0.9314819182349946</v>
      </c>
      <c r="T41" s="40">
        <f>'V_1,08pu_DIG'!$N$18/V_1pu_DIG!$D$22</f>
        <v>0.8790551576555824</v>
      </c>
      <c r="U41" s="40">
        <f>'V_1,08pu_DIG'!$N$19/V_1pu_DIG!$D$22</f>
        <v>0.81833491453838936</v>
      </c>
      <c r="V41" s="40">
        <f>'V_1,08pu_DIG'!$N$20/V_1pu_DIG!$D$22</f>
        <v>0.74689148231341251</v>
      </c>
      <c r="W41" s="40">
        <f>'V_1,08pu_DIG'!$N$21/V_1pu_DIG!$D$22</f>
        <v>0.72691946122697915</v>
      </c>
      <c r="X41" s="40">
        <f>'V_1,08pu_DIG'!$N$22/V_1pu_DIG!$D$22</f>
        <v>0.70593394598792802</v>
      </c>
      <c r="Y41" s="40">
        <f>'V_1,08pu_DIG'!$N$23/V_1pu_DIG!$D$22</f>
        <v>0.68382049708359705</v>
      </c>
      <c r="Z41" s="41">
        <f>'V_1,08pu_DIG'!$N$24/V_1pu_DIG!$D$22</f>
        <v>0.66043903644457569</v>
      </c>
      <c r="AA41" s="41">
        <f>'V_1,08pu_DIG'!$N$25/V_1pu_DIG!$D$22</f>
        <v>0.63561495114367816</v>
      </c>
      <c r="AB41" s="41">
        <f>'V_1,08pu_DIG'!$N$26/V_1pu_DIG!$D$22</f>
        <v>0.60912576699464061</v>
      </c>
      <c r="AC41" s="41">
        <f>'V_1,08pu_DIG'!$N$27/V_1pu_DIG!$D$22</f>
        <v>0.58068034871129304</v>
      </c>
      <c r="AD41" s="41">
        <f>'V_1,08pu_DIG'!$N$28/V_1pu_DIG!$D$22</f>
        <v>0.54988474952375932</v>
      </c>
      <c r="AE41" s="41">
        <f>'V_1,08pu_DIG'!$N$29/V_1pu_DIG!$D$22</f>
        <v>0.51618243091831217</v>
      </c>
      <c r="AF41" s="41">
        <f>'V_1,08pu_DIG'!$N$30/V_1pu_DIG!$D$22</f>
        <v>0.47874044860078352</v>
      </c>
      <c r="AG41" s="41">
        <f>'V_1,08pu_DIG'!$N$31/V_1pu_DIG!$D$22</f>
        <v>0.43620619986664977</v>
      </c>
      <c r="AH41" s="41">
        <f>'V_1,08pu_DIG'!$N$32/V_1pu_DIG!$D$22</f>
        <v>0.38609017586410332</v>
      </c>
      <c r="AI41" s="41">
        <f>'V_1,08pu_DIG'!$N$33/V_1pu_DIG!$D$22</f>
        <v>0.32267014781592968</v>
      </c>
      <c r="AJ41" s="41">
        <f>'V_1,08pu_DIG'!$N$34/V_1pu_DIG!$D$22</f>
        <v>0.22248518754246049</v>
      </c>
      <c r="AK41" s="41">
        <f>'V_1,08pu_DIG'!$N$35/V_1pu_DIG!$D$22</f>
        <v>0.12632473999419774</v>
      </c>
      <c r="AL41" s="41">
        <f>'V_1,08pu_DIG'!$N$36/V_1pu_DIG!$D$22</f>
        <v>0.12632473999419774</v>
      </c>
    </row>
    <row r="42" spans="1:38" ht="15.75" thickBot="1">
      <c r="E42" s="36">
        <v>1.1000000000000001</v>
      </c>
      <c r="F42" s="39">
        <f>'V_1,1pu_DIG'!$N$4/V_1pu_DIG!$D$22</f>
        <v>1.2277897858571221</v>
      </c>
      <c r="G42" s="40">
        <f>'V_1,1pu_DIG'!$N$5/V_1pu_DIG!$D$22</f>
        <v>1.2264098344092029</v>
      </c>
      <c r="H42" s="40">
        <f>'V_1,1pu_DIG'!$N$6/V_1pu_DIG!$D$22</f>
        <v>1.2222595095672493</v>
      </c>
      <c r="I42" s="40">
        <f>'V_1,1pu_DIG'!$N$7/V_1pu_DIG!$D$22</f>
        <v>1.2153069985420843</v>
      </c>
      <c r="J42" s="40">
        <f>'V_1,1pu_DIG'!$N$8/V_1pu_DIG!$D$22</f>
        <v>1.2054979059230511</v>
      </c>
      <c r="K42" s="40">
        <f>'V_1,1pu_DIG'!$N$9/V_1pu_DIG!$D$22</f>
        <v>1.1927530588863338</v>
      </c>
      <c r="L42" s="40">
        <f>'V_1,1pu_DIG'!$N$10/V_1pu_DIG!$D$22</f>
        <v>1.1769651436433053</v>
      </c>
      <c r="M42" s="40">
        <f>'V_1,1pu_DIG'!$N$11/V_1pu_DIG!$D$22</f>
        <v>1.1579938206710918</v>
      </c>
      <c r="N42" s="40">
        <f>'V_1,1pu_DIG'!$N$12/V_1pu_DIG!$D$22</f>
        <v>1.1356587575545389</v>
      </c>
      <c r="O42" s="40">
        <f>'V_1,1pu_DIG'!$N$13/V_1pu_DIG!$D$22</f>
        <v>1.1097296840738606</v>
      </c>
      <c r="P42" s="40">
        <f>'V_1,1pu_DIG'!$N$14/V_1pu_DIG!$D$22</f>
        <v>1.0799120118421586</v>
      </c>
      <c r="Q42" s="40">
        <f>'V_1,1pu_DIG'!$N$15/V_1pu_DIG!$D$22</f>
        <v>1.0458255674027781</v>
      </c>
      <c r="R42" s="40">
        <f>'V_1,1pu_DIG'!$N$16/V_1pu_DIG!$D$22</f>
        <v>1.0069721374367626</v>
      </c>
      <c r="S42" s="40">
        <f>'V_1,1pu_DIG'!$N$17/V_1pu_DIG!$D$22</f>
        <v>0.9626838606954925</v>
      </c>
      <c r="T42" s="40">
        <f>'V_1,1pu_DIG'!$N$18/V_1pu_DIG!$D$22</f>
        <v>0.91203668805818416</v>
      </c>
      <c r="U42" s="40">
        <f>'V_1,1pu_DIG'!$N$19/V_1pu_DIG!$D$22</f>
        <v>0.85369485435549908</v>
      </c>
      <c r="V42" s="40">
        <f>'V_1,1pu_DIG'!$N$20/V_1pu_DIG!$D$22</f>
        <v>0.785604067586125</v>
      </c>
      <c r="W42" s="40">
        <f>'V_1,1pu_DIG'!$N$21/V_1pu_DIG!$D$22</f>
        <v>0.76670091643392746</v>
      </c>
      <c r="X42" s="40">
        <f>'V_1,1pu_DIG'!$N$22/V_1pu_DIG!$D$22</f>
        <v>0.74691120878510076</v>
      </c>
      <c r="Y42" s="40">
        <f>'V_1,1pu_DIG'!$N$23/V_1pu_DIG!$D$22</f>
        <v>0.72614650539750092</v>
      </c>
      <c r="Z42" s="41">
        <f>'V_1,1pu_DIG'!$N$24/V_1pu_DIG!$D$22</f>
        <v>0.70430086567836747</v>
      </c>
      <c r="AA42" s="41">
        <f>'V_1,1pu_DIG'!$N$25/V_1pu_DIG!$D$22</f>
        <v>0.68124554897848166</v>
      </c>
      <c r="AB42" s="41">
        <f>'V_1,1pu_DIG'!$N$26/V_1pu_DIG!$D$22</f>
        <v>0.65682144569959822</v>
      </c>
      <c r="AC42" s="41">
        <f>'V_1,1pu_DIG'!$N$27/V_1pu_DIG!$D$22</f>
        <v>0.63082791997540089</v>
      </c>
      <c r="AD42" s="41">
        <f>'V_1,1pu_DIG'!$N$28/V_1pu_DIG!$D$22</f>
        <v>0.60300573133899071</v>
      </c>
      <c r="AE42" s="41">
        <f>'V_1,1pu_DIG'!$N$29/V_1pu_DIG!$D$22</f>
        <v>0.5730096638830664</v>
      </c>
      <c r="AF42" s="41">
        <f>'V_1,1pu_DIG'!$N$30/V_1pu_DIG!$D$22</f>
        <v>0.5403620678190707</v>
      </c>
      <c r="AG42" s="41">
        <f>'V_1,1pu_DIG'!$N$31/V_1pu_DIG!$D$22</f>
        <v>0.50436794752179437</v>
      </c>
      <c r="AH42" s="41">
        <f>'V_1,1pu_DIG'!$N$32/V_1pu_DIG!$D$22</f>
        <v>0.46394354870770987</v>
      </c>
      <c r="AI42" s="41">
        <f>'V_1,1pu_DIG'!$N$33/V_1pu_DIG!$D$22</f>
        <v>0.41721753046799215</v>
      </c>
      <c r="AJ42" s="41">
        <f>'V_1,1pu_DIG'!$N$34/V_1pu_DIG!$D$22</f>
        <v>0.36036972636738235</v>
      </c>
      <c r="AK42" s="41">
        <f>'V_1,1pu_DIG'!$N$35/V_1pu_DIG!$D$22</f>
        <v>0.28239474028061534</v>
      </c>
      <c r="AL42" s="41">
        <f>'V_1,1pu_DIG'!$N$36/V_1pu_DIG!$D$22</f>
        <v>0.13104675530948151</v>
      </c>
    </row>
    <row r="43" spans="1:38" ht="15.75" thickBot="1">
      <c r="E43" s="42" t="s">
        <v>77</v>
      </c>
      <c r="F43" s="187" t="s">
        <v>79</v>
      </c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</row>
    <row r="44" spans="1:38">
      <c r="E44" s="35" t="s">
        <v>80</v>
      </c>
      <c r="F44" s="30">
        <v>0</v>
      </c>
      <c r="G44" s="30">
        <v>5.5E-2</v>
      </c>
      <c r="H44" s="30">
        <v>0.11</v>
      </c>
      <c r="I44" s="30">
        <v>0.16500000000000001</v>
      </c>
      <c r="J44" s="30">
        <v>0.22</v>
      </c>
      <c r="K44" s="30">
        <v>0.27500000000000002</v>
      </c>
      <c r="L44" s="30">
        <v>0.33</v>
      </c>
      <c r="M44" s="30">
        <v>0.38500000000000001</v>
      </c>
      <c r="N44" s="30">
        <v>0.44</v>
      </c>
      <c r="O44" s="30">
        <v>0.495</v>
      </c>
      <c r="P44" s="30">
        <v>0.55000000000000004</v>
      </c>
      <c r="Q44" s="30">
        <v>0.60499999999999998</v>
      </c>
      <c r="R44" s="30">
        <v>0.66</v>
      </c>
      <c r="S44" s="30">
        <v>0.71499999999999997</v>
      </c>
      <c r="T44" s="30">
        <v>0.77</v>
      </c>
      <c r="U44" s="30">
        <v>0.82499999999999996</v>
      </c>
      <c r="V44" s="30">
        <v>0.88</v>
      </c>
      <c r="W44" s="37">
        <v>0.89375000000000004</v>
      </c>
      <c r="X44" s="30">
        <v>0.90749999999999997</v>
      </c>
      <c r="Y44" s="37">
        <v>0.92125000000000001</v>
      </c>
      <c r="Z44" s="30">
        <v>0.93500000000000005</v>
      </c>
      <c r="AA44" s="37">
        <v>0.94874999999999998</v>
      </c>
      <c r="AB44" s="30">
        <v>0.96250000000000002</v>
      </c>
      <c r="AC44" s="37">
        <v>0.97624999999999995</v>
      </c>
      <c r="AD44" s="30">
        <v>0.99</v>
      </c>
      <c r="AE44" s="37">
        <v>1.0037499999999999</v>
      </c>
      <c r="AF44" s="30">
        <v>1.0175000000000001</v>
      </c>
      <c r="AG44" s="37">
        <v>1.03125</v>
      </c>
      <c r="AH44" s="30">
        <v>1.0449999999999999</v>
      </c>
      <c r="AI44" s="37">
        <v>1.0587500000000001</v>
      </c>
      <c r="AJ44" s="30">
        <v>1.0725</v>
      </c>
      <c r="AK44" s="37">
        <v>1.0862499999999999</v>
      </c>
      <c r="AL44" s="30">
        <v>1.1000000000000001</v>
      </c>
    </row>
    <row r="45" spans="1:38">
      <c r="E45" s="36">
        <v>0.9</v>
      </c>
      <c r="F45" s="29">
        <f>'V_0,9pu_DIG'!$N$68/V_1pu_DIG!$D$22</f>
        <v>-0.80960969292684626</v>
      </c>
      <c r="G45" s="29">
        <f>'V_0,9pu_DIG'!$N$67/V_1pu_DIG!$D$22</f>
        <v>-0.80792256063091072</v>
      </c>
      <c r="H45" s="29">
        <f>'V_0,9pu_DIG'!$N$66/V_1pu_DIG!$D$22</f>
        <v>-0.80284198686048369</v>
      </c>
      <c r="I45" s="29">
        <f>'V_0,9pu_DIG'!$N$65/V_1pu_DIG!$D$22</f>
        <v>-0.79430933428374151</v>
      </c>
      <c r="J45" s="29">
        <f>'V_0,9pu_DIG'!$N$64/V_1pu_DIG!$D$22</f>
        <v>-0.78222303251533254</v>
      </c>
      <c r="K45" s="29">
        <f>'V_0,9pu_DIG'!$N$63/V_1pu_DIG!$D$22</f>
        <v>-0.76643224284618316</v>
      </c>
      <c r="L45" s="29">
        <f>'V_0,9pu_DIG'!$N$62/V_1pu_DIG!$D$22</f>
        <v>-0.7467266856950846</v>
      </c>
      <c r="M45" s="29">
        <f>'V_0,9pu_DIG'!$N$61/V_1pu_DIG!$D$22</f>
        <v>-0.72282089032887031</v>
      </c>
      <c r="N45" s="29">
        <f>'V_0,9pu_DIG'!$N$60/V_1pu_DIG!$D$22</f>
        <v>-0.69432977404803786</v>
      </c>
      <c r="O45" s="29">
        <f>'V_0,9pu_DIG'!$N$59/V_1pu_DIG!$D$22</f>
        <v>-0.66072987782783776</v>
      </c>
      <c r="P45" s="29">
        <f>'V_0,9pu_DIG'!$N$58/V_1pu_DIG!$D$22</f>
        <v>-0.62129527098946791</v>
      </c>
      <c r="Q45" s="29">
        <f>'V_0,9pu_DIG'!$N$57/V_1pu_DIG!$D$22</f>
        <v>-0.5749851872387961</v>
      </c>
      <c r="R45" s="29">
        <f>'V_0,9pu_DIG'!$N$56/V_1pu_DIG!$D$22</f>
        <v>-0.52023046592273081</v>
      </c>
      <c r="S45" s="29">
        <f>'V_0,9pu_DIG'!$N$55/V_1pu_DIG!$D$22</f>
        <v>-0.45447875886094552</v>
      </c>
      <c r="T45" s="29">
        <f>'V_0,9pu_DIG'!$N$54/V_1pu_DIG!$D$22</f>
        <v>-0.37304609264467403</v>
      </c>
      <c r="U45" s="29">
        <f>'V_0,9pu_DIG'!$N$53/V_1pu_DIG!$D$22</f>
        <v>-0.26524116072310877</v>
      </c>
      <c r="V45" s="29">
        <f>'V_0,9pu_DIG'!$N$52/V_1pu_DIG!$D$22</f>
        <v>-8.7803610148183553E-2</v>
      </c>
      <c r="W45" s="29">
        <f>'V_0,9pu_DIG'!$N$51/V_1pu_DIG!$D$22</f>
        <v>7.5918075946382439E-3</v>
      </c>
      <c r="X45" s="29">
        <f>'V_0,9pu_DIG'!$N$50/V_1pu_DIG!$D$22</f>
        <v>8.7725513884859524E-2</v>
      </c>
      <c r="Y45" s="29">
        <f>'V_0,9pu_DIG'!$N$49/V_1pu_DIG!$D$22</f>
        <v>8.7725513884859524E-2</v>
      </c>
      <c r="Z45" s="29">
        <f>'V_0,9pu_DIG'!$N$48/V_1pu_DIG!$D$22</f>
        <v>8.7725513884859524E-2</v>
      </c>
      <c r="AA45" s="29">
        <f>'V_0,9pu_DIG'!$N$47/V_1pu_DIG!$D$22</f>
        <v>8.7725513884859524E-2</v>
      </c>
      <c r="AB45" s="29">
        <f>'V_0,9pu_DIG'!$N$46/V_1pu_DIG!$D$22</f>
        <v>8.7725513884859524E-2</v>
      </c>
      <c r="AC45" s="29">
        <f>'V_0,9pu_DIG'!$N$45/V_1pu_DIG!$D$22</f>
        <v>8.7725513884859524E-2</v>
      </c>
      <c r="AD45" s="29">
        <f>'V_0,9pu_DIG'!$N$44/V_1pu_DIG!$D$22</f>
        <v>8.7725513884859524E-2</v>
      </c>
      <c r="AE45" s="29">
        <f>'V_0,9pu_DIG'!$N$43/V_1pu_DIG!$D$22</f>
        <v>8.7725513884859524E-2</v>
      </c>
      <c r="AF45" s="29">
        <f>'V_0,9pu_DIG'!$N$42/V_1pu_DIG!$D$22</f>
        <v>8.7725513884859524E-2</v>
      </c>
      <c r="AG45" s="29">
        <f>'V_0,9pu_DIG'!$N$41/V_1pu_DIG!$D$22</f>
        <v>8.7725513884859524E-2</v>
      </c>
      <c r="AH45" s="29">
        <f>'V_0,9pu_DIG'!$N$40/V_1pu_DIG!$D$22</f>
        <v>8.7725513884859524E-2</v>
      </c>
      <c r="AI45" s="29">
        <f>'V_0,9pu_DIG'!$N$39/V_1pu_DIG!$D$22</f>
        <v>8.7725513884859524E-2</v>
      </c>
      <c r="AJ45" s="29">
        <f>'V_0,9pu_DIG'!$N$38/V_1pu_DIG!$D$22</f>
        <v>8.7725513884859524E-2</v>
      </c>
      <c r="AK45" s="29">
        <f>'V_0,9pu_DIG'!$N$37/V_1pu_DIG!$D$22</f>
        <v>8.7725513884859524E-2</v>
      </c>
      <c r="AL45" s="29">
        <f>'V_0,9pu_DIG'!$N$36/V_1pu_DIG!$D$22</f>
        <v>8.7725513884859524E-2</v>
      </c>
    </row>
    <row r="46" spans="1:38">
      <c r="E46" s="36">
        <v>0.92</v>
      </c>
      <c r="F46" s="29">
        <f>'V_0,92pu_DIG'!$N$68/V_1pu_DIG!$D$22</f>
        <v>-0.82560824233079921</v>
      </c>
      <c r="G46" s="29">
        <f>'V_0,92pu_DIG'!$N$67/V_1pu_DIG!$D$22</f>
        <v>-0.82395785367000984</v>
      </c>
      <c r="H46" s="29">
        <f>'V_0,92pu_DIG'!$N$66/V_1pu_DIG!$D$22</f>
        <v>-0.81898874180402226</v>
      </c>
      <c r="I46" s="29">
        <f>'V_0,92pu_DIG'!$N$65/V_1pu_DIG!$D$22</f>
        <v>-0.81064607900425811</v>
      </c>
      <c r="J46" s="29">
        <f>'V_0,92pu_DIG'!$N$64/V_1pu_DIG!$D$22</f>
        <v>-0.79883505512641984</v>
      </c>
      <c r="K46" s="29">
        <f>'V_0,92pu_DIG'!$N$63/V_1pu_DIG!$D$22</f>
        <v>-0.7834152436874654</v>
      </c>
      <c r="L46" s="29">
        <f>'V_0,92pu_DIG'!$N$62/V_1pu_DIG!$D$22</f>
        <v>-0.76419161094669241</v>
      </c>
      <c r="M46" s="29">
        <f>'V_0,92pu_DIG'!$N$61/V_1pu_DIG!$D$22</f>
        <v>-0.74090071299482041</v>
      </c>
      <c r="N46" s="29">
        <f>'V_0,92pu_DIG'!$N$60/V_1pu_DIG!$D$22</f>
        <v>-0.71318953262793694</v>
      </c>
      <c r="O46" s="29">
        <f>'V_0,92pu_DIG'!$N$59/V_1pu_DIG!$D$22</f>
        <v>-0.68058236828687657</v>
      </c>
      <c r="P46" s="29">
        <f>'V_0,92pu_DIG'!$N$58/V_1pu_DIG!$D$22</f>
        <v>-0.64242709738285697</v>
      </c>
      <c r="Q46" s="29">
        <f>'V_0,92pu_DIG'!$N$57/V_1pu_DIG!$D$22</f>
        <v>-0.59780323900050281</v>
      </c>
      <c r="R46" s="29">
        <f>'V_0,92pu_DIG'!$N$56/V_1pu_DIG!$D$22</f>
        <v>-0.545352849622466</v>
      </c>
      <c r="S46" s="29">
        <f>'V_0,92pu_DIG'!$N$55/V_1pu_DIG!$D$22</f>
        <v>-0.48293667388716965</v>
      </c>
      <c r="T46" s="29">
        <f>'V_0,92pu_DIG'!$N$54/V_1pu_DIG!$D$22</f>
        <v>-0.40682522233951951</v>
      </c>
      <c r="U46" s="29">
        <f>'V_0,92pu_DIG'!$N$53/V_1pu_DIG!$D$22</f>
        <v>-0.30929389761522952</v>
      </c>
      <c r="V46" s="29">
        <f>'V_0,92pu_DIG'!$N$52/V_1pu_DIG!$D$22</f>
        <v>-0.167166640999722</v>
      </c>
      <c r="W46" s="29">
        <f>'V_0,92pu_DIG'!$N$51/V_1pu_DIG!$D$22</f>
        <v>-0.11474489286475235</v>
      </c>
      <c r="X46" s="29">
        <f>'V_0,92pu_DIG'!$N$50/V_1pu_DIG!$D$22</f>
        <v>-4.18949363166237E-2</v>
      </c>
      <c r="Y46" s="29">
        <f>'V_0,92pu_DIG'!$N$49/V_1pu_DIG!$D$22</f>
        <v>9.1667746854500132E-2</v>
      </c>
      <c r="Z46" s="29">
        <f>'V_0,92pu_DIG'!$N$48/V_1pu_DIG!$D$22</f>
        <v>9.1667746854500132E-2</v>
      </c>
      <c r="AA46" s="29">
        <f>'V_0,92pu_DIG'!$N$47/V_1pu_DIG!$D$22</f>
        <v>9.1667746854500132E-2</v>
      </c>
      <c r="AB46" s="29">
        <f>'V_0,92pu_DIG'!$N$46/V_1pu_DIG!$D$22</f>
        <v>9.1667746854500132E-2</v>
      </c>
      <c r="AC46" s="29">
        <f>'V_0,92pu_DIG'!$N$45/V_1pu_DIG!$D$22</f>
        <v>9.1667746854500132E-2</v>
      </c>
      <c r="AD46" s="29">
        <f>'V_0,92pu_DIG'!$N$44/V_1pu_DIG!$D$22</f>
        <v>9.1667746854500132E-2</v>
      </c>
      <c r="AE46" s="29">
        <f>'V_0,92pu_DIG'!$N$43/V_1pu_DIG!$D$22</f>
        <v>9.1667746854500132E-2</v>
      </c>
      <c r="AF46" s="29">
        <f>'V_0,92pu_DIG'!$N$42/V_1pu_DIG!$D$22</f>
        <v>9.1667746854500132E-2</v>
      </c>
      <c r="AG46" s="29">
        <f>'V_0,92pu_DIG'!$N$41/V_1pu_DIG!$D$22</f>
        <v>9.1667746854500132E-2</v>
      </c>
      <c r="AH46" s="29">
        <f>'V_0,92pu_DIG'!$N$40/V_1pu_DIG!$D$22</f>
        <v>9.1667746854500132E-2</v>
      </c>
      <c r="AI46" s="29">
        <f>'V_0,92pu_DIG'!$N$39/V_1pu_DIG!$D$22</f>
        <v>9.1667746854500132E-2</v>
      </c>
      <c r="AJ46" s="29">
        <f>'V_0,92pu_DIG'!$N$38/V_1pu_DIG!$D$22</f>
        <v>9.1667746854500132E-2</v>
      </c>
      <c r="AK46" s="29">
        <f>'V_0,92pu_DIG'!$N$37/V_1pu_DIG!$D$22</f>
        <v>9.1667746854500132E-2</v>
      </c>
      <c r="AL46" s="29">
        <f>'V_0,92pu_DIG'!$N$36/V_1pu_DIG!$D$22</f>
        <v>9.1667746854500132E-2</v>
      </c>
    </row>
    <row r="47" spans="1:38">
      <c r="E47" s="36">
        <v>0.94</v>
      </c>
      <c r="F47" s="29">
        <f>'V_0,94pu_DIG'!$N$68/V_1pu_DIG!$D$22</f>
        <v>-0.84152014925190288</v>
      </c>
      <c r="G47" s="29">
        <f>'V_0,94pu_DIG'!$N$67/V_1pu_DIG!$D$22</f>
        <v>-0.8399049365262955</v>
      </c>
      <c r="H47" s="29">
        <f>'V_0,94pu_DIG'!$N$66/V_1pu_DIG!$D$22</f>
        <v>-0.83504248017623217</v>
      </c>
      <c r="I47" s="29">
        <f>'V_0,94pu_DIG'!$N$65/V_1pu_DIG!$D$22</f>
        <v>-0.82688143774607348</v>
      </c>
      <c r="J47" s="29">
        <f>'V_0,94pu_DIG'!$N$64/V_1pu_DIG!$D$22</f>
        <v>-0.81533316693772728</v>
      </c>
      <c r="K47" s="29">
        <f>'V_0,94pu_DIG'!$N$63/V_1pu_DIG!$D$22</f>
        <v>-0.80026670110043263</v>
      </c>
      <c r="L47" s="29">
        <f>'V_0,94pu_DIG'!$N$62/V_1pu_DIG!$D$22</f>
        <v>-0.78150077673798779</v>
      </c>
      <c r="M47" s="29">
        <f>'V_0,94pu_DIG'!$N$61/V_1pu_DIG!$D$22</f>
        <v>-0.75879169059803386</v>
      </c>
      <c r="N47" s="29">
        <f>'V_0,94pu_DIG'!$N$60/V_1pu_DIG!$D$22</f>
        <v>-0.73181487422419034</v>
      </c>
      <c r="O47" s="29">
        <f>'V_0,94pu_DIG'!$N$59/V_1pu_DIG!$D$22</f>
        <v>-0.70013644868922964</v>
      </c>
      <c r="P47" s="29">
        <f>'V_0,94pu_DIG'!$N$58/V_1pu_DIG!$D$22</f>
        <v>-0.66316784312229493</v>
      </c>
      <c r="Q47" s="29">
        <f>'V_0,94pu_DIG'!$N$57/V_1pu_DIG!$D$22</f>
        <v>-0.62008985206317724</v>
      </c>
      <c r="R47" s="29">
        <f>'V_0,94pu_DIG'!$N$56/V_1pu_DIG!$D$22</f>
        <v>-0.56971699108792262</v>
      </c>
      <c r="S47" s="29">
        <f>'V_0,94pu_DIG'!$N$55/V_1pu_DIG!$D$22</f>
        <v>-0.51023264492745735</v>
      </c>
      <c r="T47" s="29">
        <f>'V_0,94pu_DIG'!$N$54/V_1pu_DIG!$D$22</f>
        <v>-0.4386022424599812</v>
      </c>
      <c r="U47" s="29">
        <f>'V_0,94pu_DIG'!$N$53/V_1pu_DIG!$D$22</f>
        <v>-0.3489945929101248</v>
      </c>
      <c r="V47" s="29">
        <f>'V_0,94pu_DIG'!$N$52/V_1pu_DIG!$D$22</f>
        <v>-0.22675535379375339</v>
      </c>
      <c r="W47" s="29">
        <f>'V_0,94pu_DIG'!$N$51/V_1pu_DIG!$D$22</f>
        <v>-0.18641366533115053</v>
      </c>
      <c r="X47" s="29">
        <f>'V_0,94pu_DIG'!$N$50/V_1pu_DIG!$D$22</f>
        <v>-0.13843801180610832</v>
      </c>
      <c r="Y47" s="29">
        <f>'V_0,94pu_DIG'!$N$49/V_1pu_DIG!$D$22</f>
        <v>-7.6563977922064583E-2</v>
      </c>
      <c r="Z47" s="29">
        <f>'V_0,94pu_DIG'!$N$48/V_1pu_DIG!$D$22</f>
        <v>3.1273979616130272E-2</v>
      </c>
      <c r="AA47" s="29">
        <f>'V_0,94pu_DIG'!$N$47/V_1pu_DIG!$D$22</f>
        <v>9.569662230698997E-2</v>
      </c>
      <c r="AB47" s="29">
        <f>'V_0,94pu_DIG'!$N$46/V_1pu_DIG!$D$22</f>
        <v>9.569662230698997E-2</v>
      </c>
      <c r="AC47" s="29">
        <f>'V_0,94pu_DIG'!$N$45/V_1pu_DIG!$D$22</f>
        <v>9.569662230698997E-2</v>
      </c>
      <c r="AD47" s="29">
        <f>'V_0,94pu_DIG'!$N$44/V_1pu_DIG!$D$22</f>
        <v>9.569662230698997E-2</v>
      </c>
      <c r="AE47" s="29">
        <f>'V_0,94pu_DIG'!$N$43/V_1pu_DIG!$D$22</f>
        <v>9.569662230698997E-2</v>
      </c>
      <c r="AF47" s="29">
        <f>'V_0,94pu_DIG'!$N$42/V_1pu_DIG!$D$22</f>
        <v>9.569662230698997E-2</v>
      </c>
      <c r="AG47" s="29">
        <f>'V_0,94pu_DIG'!$N$41/V_1pu_DIG!$D$22</f>
        <v>9.569662230698997E-2</v>
      </c>
      <c r="AH47" s="29">
        <f>'V_0,94pu_DIG'!$N$40/V_1pu_DIG!$D$22</f>
        <v>9.569662230698997E-2</v>
      </c>
      <c r="AI47" s="29">
        <f>'V_0,94pu_DIG'!$N$39/V_1pu_DIG!$D$22</f>
        <v>9.569662230698997E-2</v>
      </c>
      <c r="AJ47" s="29">
        <f>'V_0,94pu_DIG'!$N$38/V_1pu_DIG!$D$22</f>
        <v>9.569662230698997E-2</v>
      </c>
      <c r="AK47" s="29">
        <f>'V_0,94pu_DIG'!$N$37/V_1pu_DIG!$D$22</f>
        <v>9.569662230698997E-2</v>
      </c>
      <c r="AL47" s="29">
        <f>'V_0,94pu_DIG'!$N$36/V_1pu_DIG!$D$22</f>
        <v>9.569662230698997E-2</v>
      </c>
    </row>
    <row r="48" spans="1:38">
      <c r="E48" s="36">
        <v>0.96</v>
      </c>
      <c r="F48" s="29">
        <f>'V_0,96pu_DIG'!$N$68/V_1pu_DIG!$D$22</f>
        <v>-0.85734541369015715</v>
      </c>
      <c r="G48" s="29">
        <f>'V_0,96pu_DIG'!$N$67/V_1pu_DIG!$D$22</f>
        <v>-0.85576390751630982</v>
      </c>
      <c r="H48" s="29">
        <f>'V_0,96pu_DIG'!$N$66/V_1pu_DIG!$D$22</f>
        <v>-0.85100360586730506</v>
      </c>
      <c r="I48" s="29">
        <f>'V_0,96pu_DIG'!$N$65/V_1pu_DIG!$D$22</f>
        <v>-0.84301636115653111</v>
      </c>
      <c r="J48" s="29">
        <f>'V_0,96pu_DIG'!$N$64/V_1pu_DIG!$D$22</f>
        <v>-0.83171917058410805</v>
      </c>
      <c r="K48" s="29">
        <f>'V_0,96pu_DIG'!$N$63/V_1pu_DIG!$D$22</f>
        <v>-0.81698968297249219</v>
      </c>
      <c r="L48" s="29">
        <f>'V_0,96pu_DIG'!$N$62/V_1pu_DIG!$D$22</f>
        <v>-0.79865910751689673</v>
      </c>
      <c r="M48" s="29">
        <f>'V_0,96pu_DIG'!$N$61/V_1pu_DIG!$D$22</f>
        <v>-0.77650149256844747</v>
      </c>
      <c r="N48" s="29">
        <f>'V_0,96pu_DIG'!$N$60/V_1pu_DIG!$D$22</f>
        <v>-0.75021761397220454</v>
      </c>
      <c r="O48" s="29">
        <f>'V_0,96pu_DIG'!$N$59/V_1pu_DIG!$D$22</f>
        <v>-0.719410407695666</v>
      </c>
      <c r="P48" s="29">
        <f>'V_0,96pu_DIG'!$N$58/V_1pu_DIG!$D$22</f>
        <v>-0.68354638754046126</v>
      </c>
      <c r="Q48" s="29">
        <f>'V_0,96pu_DIG'!$N$57/V_1pu_DIG!$D$22</f>
        <v>-0.64189237170971536</v>
      </c>
      <c r="R48" s="29">
        <f>'V_0,96pu_DIG'!$N$56/V_1pu_DIG!$D$22</f>
        <v>-0.59340541799607904</v>
      </c>
      <c r="S48" s="29">
        <f>'V_0,96pu_DIG'!$N$55/V_1pu_DIG!$D$22</f>
        <v>-0.53652549266179261</v>
      </c>
      <c r="T48" s="29">
        <f>'V_0,96pu_DIG'!$N$54/V_1pu_DIG!$D$22</f>
        <v>-0.46873916179647618</v>
      </c>
      <c r="U48" s="29">
        <f>'V_0,96pu_DIG'!$N$53/V_1pu_DIG!$D$22</f>
        <v>-0.38549764025876559</v>
      </c>
      <c r="V48" s="29">
        <f>'V_0,96pu_DIG'!$N$52/V_1pu_DIG!$D$22</f>
        <v>-0.27668564600617029</v>
      </c>
      <c r="W48" s="29">
        <f>'V_0,96pu_DIG'!$N$51/V_1pu_DIG!$D$22</f>
        <v>-0.24276853719003982</v>
      </c>
      <c r="X48" s="29">
        <f>'V_0,96pu_DIG'!$N$50/V_1pu_DIG!$D$22</f>
        <v>-0.20448102933270562</v>
      </c>
      <c r="Y48" s="29">
        <f>'V_0,96pu_DIG'!$N$49/V_1pu_DIG!$D$22</f>
        <v>-0.1598973523643536</v>
      </c>
      <c r="Z48" s="29">
        <f>'V_0,96pu_DIG'!$N$48/V_1pu_DIG!$D$22</f>
        <v>-0.10494523581533724</v>
      </c>
      <c r="AA48" s="29">
        <f>'V_0,96pu_DIG'!$N$47/V_1pu_DIG!$D$22</f>
        <v>-2.6773880115452342E-2</v>
      </c>
      <c r="AB48" s="29">
        <f>'V_0,96pu_DIG'!$N$46/V_1pu_DIG!$D$22</f>
        <v>9.9812140242329039E-2</v>
      </c>
      <c r="AC48" s="29">
        <f>'V_0,96pu_DIG'!$N$45/V_1pu_DIG!$D$22</f>
        <v>9.9812140242329039E-2</v>
      </c>
      <c r="AD48" s="29">
        <f>'V_0,96pu_DIG'!$N$44/V_1pu_DIG!$D$22</f>
        <v>9.9812140242329039E-2</v>
      </c>
      <c r="AE48" s="29">
        <f>'V_0,96pu_DIG'!$N$43/V_1pu_DIG!$D$22</f>
        <v>9.9812140242329039E-2</v>
      </c>
      <c r="AF48" s="29">
        <f>'V_0,96pu_DIG'!$N$42/V_1pu_DIG!$D$22</f>
        <v>9.9812140242329039E-2</v>
      </c>
      <c r="AG48" s="29">
        <f>'V_0,96pu_DIG'!$N$41/V_1pu_DIG!$D$22</f>
        <v>9.9812140242329039E-2</v>
      </c>
      <c r="AH48" s="29">
        <f>'V_0,96pu_DIG'!$N$40/V_1pu_DIG!$D$22</f>
        <v>9.9812140242329039E-2</v>
      </c>
      <c r="AI48" s="29">
        <f>'V_0,96pu_DIG'!$N$39/V_1pu_DIG!$D$22</f>
        <v>9.9812140242329039E-2</v>
      </c>
      <c r="AJ48" s="29">
        <f>'V_0,96pu_DIG'!$N$38/V_1pu_DIG!$D$22</f>
        <v>9.9812140242329039E-2</v>
      </c>
      <c r="AK48" s="29">
        <f>'V_0,96pu_DIG'!$N$37/V_1pu_DIG!$D$22</f>
        <v>9.9812140242329039E-2</v>
      </c>
      <c r="AL48" s="29">
        <f>'V_0,96pu_DIG'!$N$36/V_1pu_DIG!$D$22</f>
        <v>9.9812140242329039E-2</v>
      </c>
    </row>
    <row r="49" spans="3:38">
      <c r="E49" s="36">
        <v>0.98</v>
      </c>
      <c r="F49" s="29">
        <f>'V_0,98pu_DIG'!$N$68/V_1pu_DIG!$D$22</f>
        <v>-0.87308403564556236</v>
      </c>
      <c r="G49" s="29">
        <f>'V_0,98pu_DIG'!$N$67/V_1pu_DIG!$D$22</f>
        <v>-0.87153485689747523</v>
      </c>
      <c r="H49" s="29">
        <f>'V_0,98pu_DIG'!$N$66/V_1pu_DIG!$D$22</f>
        <v>-0.86687248924452043</v>
      </c>
      <c r="I49" s="29">
        <f>'V_0,98pu_DIG'!$N$65/V_1pu_DIG!$D$22</f>
        <v>-0.85905171930494129</v>
      </c>
      <c r="J49" s="29">
        <f>'V_0,98pu_DIG'!$N$64/V_1pu_DIG!$D$22</f>
        <v>-0.84799471127797732</v>
      </c>
      <c r="K49" s="29">
        <f>'V_0,98pu_DIG'!$N$63/V_1pu_DIG!$D$22</f>
        <v>-0.83358697856861708</v>
      </c>
      <c r="L49" s="29">
        <f>'V_0,98pu_DIG'!$N$62/V_1pu_DIG!$D$22</f>
        <v>-0.8156710579334473</v>
      </c>
      <c r="M49" s="29">
        <f>'V_0,98pu_DIG'!$N$61/V_1pu_DIG!$D$22</f>
        <v>-0.79403701124326764</v>
      </c>
      <c r="N49" s="29">
        <f>'V_0,98pu_DIG'!$N$60/V_1pu_DIG!$D$22</f>
        <v>-0.76840827975112513</v>
      </c>
      <c r="O49" s="29">
        <f>'V_0,98pu_DIG'!$N$59/V_1pu_DIG!$D$22</f>
        <v>-0.73842036078932416</v>
      </c>
      <c r="P49" s="29">
        <f>'V_0,98pu_DIG'!$N$58/V_1pu_DIG!$D$22</f>
        <v>-0.70358780360377271</v>
      </c>
      <c r="Q49" s="29">
        <f>'V_0,98pu_DIG'!$N$57/V_1pu_DIG!$D$22</f>
        <v>-0.66325107638454994</v>
      </c>
      <c r="R49" s="29">
        <f>'V_0,98pu_DIG'!$N$56/V_1pu_DIG!$D$22</f>
        <v>-0.6164863300207537</v>
      </c>
      <c r="S49" s="29">
        <f>'V_0,98pu_DIG'!$N$55/V_1pu_DIG!$D$22</f>
        <v>-0.56194077200738357</v>
      </c>
      <c r="T49" s="29">
        <f>'V_0,98pu_DIG'!$N$54/V_1pu_DIG!$D$22</f>
        <v>-0.49750141718242424</v>
      </c>
      <c r="U49" s="29">
        <f>'V_0,98pu_DIG'!$N$53/V_1pu_DIG!$D$22</f>
        <v>-0.41952763539819932</v>
      </c>
      <c r="V49" s="29">
        <f>'V_0,98pu_DIG'!$N$52/V_1pu_DIG!$D$22</f>
        <v>-0.32062808866502968</v>
      </c>
      <c r="W49" s="29">
        <f>'V_0,98pu_DIG'!$N$51/V_1pu_DIG!$D$22</f>
        <v>-0.29086808222343635</v>
      </c>
      <c r="X49" s="29">
        <f>'V_0,98pu_DIG'!$N$50/V_1pu_DIG!$D$22</f>
        <v>-0.25815266195770598</v>
      </c>
      <c r="Y49" s="29">
        <f>'V_0,98pu_DIG'!$N$49/V_1pu_DIG!$D$22</f>
        <v>-0.22159220466778418</v>
      </c>
      <c r="Z49" s="29">
        <f>'V_0,98pu_DIG'!$N$48/V_1pu_DIG!$D$22</f>
        <v>-0.17970414923675193</v>
      </c>
      <c r="AA49" s="29">
        <f>'V_0,98pu_DIG'!$N$47/V_1pu_DIG!$D$22</f>
        <v>-0.12964056513968245</v>
      </c>
      <c r="AB49" s="29">
        <f>'V_0,98pu_DIG'!$N$46/V_1pu_DIG!$D$22</f>
        <v>-6.4256043762108403E-2</v>
      </c>
      <c r="AC49" s="29">
        <f>'V_0,98pu_DIG'!$N$45/V_1pu_DIG!$D$22</f>
        <v>6.3306852790265364E-2</v>
      </c>
      <c r="AD49" s="29">
        <f>'V_0,98pu_DIG'!$N$44/V_1pu_DIG!$D$22</f>
        <v>0.10401430066051739</v>
      </c>
      <c r="AE49" s="29">
        <f>'V_0,98pu_DIG'!$N$43/V_1pu_DIG!$D$22</f>
        <v>0.10401430066051739</v>
      </c>
      <c r="AF49" s="29">
        <f>'V_0,98pu_DIG'!$N$42/V_1pu_DIG!$D$22</f>
        <v>0.10401430066051739</v>
      </c>
      <c r="AG49" s="29">
        <f>'V_0,98pu_DIG'!$N$41/V_1pu_DIG!$D$22</f>
        <v>0.10401430066051739</v>
      </c>
      <c r="AH49" s="29">
        <f>'V_0,98pu_DIG'!$N$40/V_1pu_DIG!$D$22</f>
        <v>0.10401430066051739</v>
      </c>
      <c r="AI49" s="29">
        <f>'V_0,98pu_DIG'!$N$39/V_1pu_DIG!$D$22</f>
        <v>0.10401430066051739</v>
      </c>
      <c r="AJ49" s="29">
        <f>'V_0,98pu_DIG'!$N$38/V_1pu_DIG!$D$22</f>
        <v>0.10401430066051739</v>
      </c>
      <c r="AK49" s="29">
        <f>'V_0,98pu_DIG'!$N$37/V_1pu_DIG!$D$22</f>
        <v>0.10401430066051739</v>
      </c>
      <c r="AL49" s="29">
        <f>'V_0,98pu_DIG'!$N$36/V_1pu_DIG!$D$22</f>
        <v>0.10401430066051739</v>
      </c>
    </row>
    <row r="50" spans="3:38">
      <c r="E50" s="36">
        <v>1</v>
      </c>
      <c r="F50" s="29">
        <f>V_1pu_DIG!$N$68/V_1pu_DIG!$D$22</f>
        <v>-0.88873601511811828</v>
      </c>
      <c r="G50" s="29">
        <f>V_1pu_DIG!$N$67/V_1pu_DIG!$D$22</f>
        <v>-0.8872178676778959</v>
      </c>
      <c r="H50" s="29">
        <f>V_1pu_DIG!$N$66/V_1pu_DIG!$D$22</f>
        <v>-0.8826494705697906</v>
      </c>
      <c r="I50" s="29">
        <f>V_1pu_DIG!$N$65/V_1pu_DIG!$D$22</f>
        <v>-0.874988310098475</v>
      </c>
      <c r="J50" s="29">
        <f>V_1pu_DIG!$N$64/V_1pu_DIG!$D$22</f>
        <v>-0.864161293821475</v>
      </c>
      <c r="K50" s="29">
        <f>V_1pu_DIG!$N$63/V_1pu_DIG!$D$22</f>
        <v>-0.85006113000391992</v>
      </c>
      <c r="L50" s="29">
        <f>V_1pu_DIG!$N$62/V_1pu_DIG!$D$22</f>
        <v>-0.83254066889885714</v>
      </c>
      <c r="M50" s="29">
        <f>V_1pu_DIG!$N$61/V_1pu_DIG!$D$22</f>
        <v>-0.81140446092703822</v>
      </c>
      <c r="N50" s="29">
        <f>V_1pu_DIG!$N$60/V_1pu_DIG!$D$22</f>
        <v>-0.78639628963011354</v>
      </c>
      <c r="O50" s="29">
        <f>V_1pu_DIG!$N$59/V_1pu_DIG!$D$22</f>
        <v>-0.75718057865177246</v>
      </c>
      <c r="P50" s="29">
        <f>V_1pu_DIG!$N$58/V_1pu_DIG!$D$22</f>
        <v>-0.72331399834144217</v>
      </c>
      <c r="Q50" s="29">
        <f>V_1pu_DIG!$N$57/V_1pu_DIG!$D$22</f>
        <v>-0.68420052682605403</v>
      </c>
      <c r="R50" s="29">
        <f>V_1pu_DIG!$N$56/V_1pu_DIG!$D$22</f>
        <v>-0.63901677719737404</v>
      </c>
      <c r="S50" s="29">
        <f>V_1pu_DIG!$N$55/V_1pu_DIG!$D$22</f>
        <v>-0.58657962336259284</v>
      </c>
      <c r="T50" s="29">
        <f>V_1pu_DIG!$N$54/V_1pu_DIG!$D$22</f>
        <v>-0.52509014251669295</v>
      </c>
      <c r="U50" s="29">
        <f>V_1pu_DIG!$N$53/V_1pu_DIG!$D$22</f>
        <v>-0.45157367232537182</v>
      </c>
      <c r="V50" s="29">
        <f>V_1pu_DIG!$N$52/V_1pu_DIG!$D$22</f>
        <v>-0.36040469899515515</v>
      </c>
      <c r="W50" s="29">
        <f>V_1pu_DIG!$N$51/V_1pu_DIG!$D$22</f>
        <v>-0.33362216351144242</v>
      </c>
      <c r="X50" s="29">
        <f>V_1pu_DIG!$N$50/V_1pu_DIG!$D$22</f>
        <v>-0.30465059139411454</v>
      </c>
      <c r="Y50" s="29">
        <f>V_1pu_DIG!$N$49/V_1pu_DIG!$D$22</f>
        <v>-0.27299132555791156</v>
      </c>
      <c r="Z50" s="29">
        <f>V_1pu_DIG!$N$48/V_1pu_DIG!$D$22</f>
        <v>-0.2379078208436981</v>
      </c>
      <c r="AA50" s="29">
        <f>V_1pu_DIG!$N$47/V_1pu_DIG!$D$22</f>
        <v>-0.19822657147422357</v>
      </c>
      <c r="AB50" s="29">
        <f>V_1pu_DIG!$N$46/V_1pu_DIG!$D$22</f>
        <v>-0.15185214658254587</v>
      </c>
      <c r="AC50" s="29">
        <f>V_1pu_DIG!$N$45/V_1pu_DIG!$D$22</f>
        <v>-9.4238106263852789E-2</v>
      </c>
      <c r="AD50" s="29">
        <f>V_1pu_DIG!$N$44/V_1pu_DIG!$D$22</f>
        <v>-9.9635619767104496E-3</v>
      </c>
      <c r="AE50" s="29">
        <f>V_1pu_DIG!$N$43/V_1pu_DIG!$D$22</f>
        <v>0.10830310356155498</v>
      </c>
      <c r="AF50" s="29">
        <f>V_1pu_DIG!$N$42/V_1pu_DIG!$D$22</f>
        <v>0.10830310356155498</v>
      </c>
      <c r="AG50" s="29">
        <f>V_1pu_DIG!$N$41/V_1pu_DIG!$D$22</f>
        <v>0.10830310356155498</v>
      </c>
      <c r="AH50" s="29">
        <f>V_1pu_DIG!$N$40/V_1pu_DIG!$D$22</f>
        <v>0.10830310356155498</v>
      </c>
      <c r="AI50" s="29">
        <f>V_1pu_DIG!$N$39/V_1pu_DIG!$D$22</f>
        <v>0.10830310356155498</v>
      </c>
      <c r="AJ50" s="29">
        <f>V_1pu_DIG!$N$38/V_1pu_DIG!$D$22</f>
        <v>0.10830310356155498</v>
      </c>
      <c r="AK50" s="29">
        <f>V_1pu_DIG!$N$37/V_1pu_DIG!$D$22</f>
        <v>0.10830310356155498</v>
      </c>
      <c r="AL50" s="29">
        <f>V_1pu_DIG!$N$36/V_1pu_DIG!$D$22</f>
        <v>0.10830310356155498</v>
      </c>
    </row>
    <row r="51" spans="3:38">
      <c r="E51" s="36">
        <v>1.02</v>
      </c>
      <c r="F51" s="29">
        <f>'V_1,02pu_DIG'!$N$68/V_1pu_DIG!$D$22</f>
        <v>-0.90430135210782492</v>
      </c>
      <c r="G51" s="29">
        <f>'V_1,02pu_DIG'!$N$67/V_1pu_DIG!$D$22</f>
        <v>-0.90281301633036704</v>
      </c>
      <c r="H51" s="29">
        <f>'V_1,02pu_DIG'!$N$66/V_1pu_DIG!$D$22</f>
        <v>-0.89833486300630483</v>
      </c>
      <c r="I51" s="29">
        <f>'V_1,02pu_DIG'!$N$65/V_1pu_DIG!$D$22</f>
        <v>-0.89082686665843647</v>
      </c>
      <c r="J51" s="29">
        <f>'V_1,02pu_DIG'!$N$64/V_1pu_DIG!$D$22</f>
        <v>-0.88022029743635966</v>
      </c>
      <c r="K51" s="29">
        <f>'V_1,02pu_DIG'!$N$63/V_1pu_DIG!$D$22</f>
        <v>-0.86641445947935125</v>
      </c>
      <c r="L51" s="29">
        <f>'V_1,02pu_DIG'!$N$62/V_1pu_DIG!$D$22</f>
        <v>-0.84927161564018361</v>
      </c>
      <c r="M51" s="29">
        <f>'V_1,02pu_DIG'!$N$61/V_1pu_DIG!$D$22</f>
        <v>-0.82860946178576489</v>
      </c>
      <c r="N51" s="29">
        <f>'V_1,02pu_DIG'!$N$60/V_1pu_DIG!$D$22</f>
        <v>-0.80419009985127232</v>
      </c>
      <c r="O51" s="29">
        <f>'V_1,02pu_DIG'!$N$59/V_1pu_DIG!$D$22</f>
        <v>-0.77570375566576111</v>
      </c>
      <c r="P51" s="29">
        <f>'V_1,02pu_DIG'!$N$58/V_1pu_DIG!$D$22</f>
        <v>-0.74274422322415168</v>
      </c>
      <c r="Q51" s="29">
        <f>'V_1,02pu_DIG'!$N$57/V_1pu_DIG!$D$22</f>
        <v>-0.70477060491448629</v>
      </c>
      <c r="R51" s="29">
        <f>'V_1,02pu_DIG'!$N$56/V_1pu_DIG!$D$22</f>
        <v>-0.66104499286152185</v>
      </c>
      <c r="S51" s="29">
        <f>'V_1,02pu_DIG'!$N$55/V_1pu_DIG!$D$22</f>
        <v>-0.61052482435028077</v>
      </c>
      <c r="T51" s="29">
        <f>'V_1,02pu_DIG'!$N$54/V_1pu_DIG!$D$22</f>
        <v>-0.551661814984308</v>
      </c>
      <c r="U51" s="29">
        <f>'V_1,02pu_DIG'!$N$53/V_1pu_DIG!$D$22</f>
        <v>-0.48198364015549</v>
      </c>
      <c r="V51" s="29">
        <f>'V_1,02pu_DIG'!$N$52/V_1pu_DIG!$D$22</f>
        <v>-0.39707444922750901</v>
      </c>
      <c r="W51" s="29">
        <f>'V_1,02pu_DIG'!$N$51/V_1pu_DIG!$D$22</f>
        <v>-0.37256268657181352</v>
      </c>
      <c r="X51" s="29">
        <f>'V_1,02pu_DIG'!$N$50/V_1pu_DIG!$D$22</f>
        <v>-0.34633329093051668</v>
      </c>
      <c r="Y51" s="29">
        <f>'V_1,02pu_DIG'!$N$49/V_1pu_DIG!$D$22</f>
        <v>-0.31807260502435575</v>
      </c>
      <c r="Z51" s="29">
        <f>'V_1,02pu_DIG'!$N$48/V_1pu_DIG!$D$22</f>
        <v>-0.28735034894358857</v>
      </c>
      <c r="AA51" s="29">
        <f>'V_1,02pu_DIG'!$N$47/V_1pu_DIG!$D$22</f>
        <v>-0.25354755149841296</v>
      </c>
      <c r="AB51" s="29">
        <f>'V_1,02pu_DIG'!$N$46/V_1pu_DIG!$D$22</f>
        <v>-0.21571430899503177</v>
      </c>
      <c r="AC51" s="29">
        <f>'V_1,02pu_DIG'!$N$45/V_1pu_DIG!$D$22</f>
        <v>-0.17224961155525745</v>
      </c>
      <c r="AD51" s="29">
        <f>'V_1,02pu_DIG'!$N$44/V_1pu_DIG!$D$22</f>
        <v>-0.12001893524016845</v>
      </c>
      <c r="AE51" s="29">
        <f>'V_1,02pu_DIG'!$N$43/V_1pu_DIG!$D$22</f>
        <v>-5.082697587348306E-2</v>
      </c>
      <c r="AF51" s="29">
        <f>'V_1,02pu_DIG'!$N$42/V_1pu_DIG!$D$22</f>
        <v>0.11267854894544181</v>
      </c>
      <c r="AG51" s="29">
        <f>'V_1,02pu_DIG'!$N$41/V_1pu_DIG!$D$22</f>
        <v>0.11267854894544181</v>
      </c>
      <c r="AH51" s="29">
        <f>'V_1,02pu_DIG'!$N$40/V_1pu_DIG!$D$22</f>
        <v>0.11267854894544181</v>
      </c>
      <c r="AI51" s="29">
        <f>'V_1,02pu_DIG'!$N$39/V_1pu_DIG!$D$22</f>
        <v>0.11267854894544181</v>
      </c>
      <c r="AJ51" s="29">
        <f>'V_1,02pu_DIG'!$N$38/V_1pu_DIG!$D$22</f>
        <v>0.11267854894544181</v>
      </c>
      <c r="AK51" s="29">
        <f>'V_1,02pu_DIG'!$N$37/V_1pu_DIG!$D$22</f>
        <v>0.11267854894544181</v>
      </c>
      <c r="AL51" s="29">
        <f>'V_1,02pu_DIG'!$N$36/V_1pu_DIG!$D$22</f>
        <v>0.11267854894544181</v>
      </c>
    </row>
    <row r="52" spans="3:38">
      <c r="C52" s="34"/>
      <c r="E52" s="36">
        <v>1.04</v>
      </c>
      <c r="F52" s="29">
        <f>'V_1,04pu_DIG'!$N$68/V_1pu_DIG!$D$22</f>
        <v>-0.91978004661468249</v>
      </c>
      <c r="G52" s="29">
        <f>'V_1,04pu_DIG'!$N$67/V_1pu_DIG!$D$22</f>
        <v>-0.91832037342356587</v>
      </c>
      <c r="H52" s="29">
        <f>'V_1,04pu_DIG'!$N$66/V_1pu_DIG!$D$22</f>
        <v>-0.91392895527093032</v>
      </c>
      <c r="I52" s="29">
        <f>'V_1,04pu_DIG'!$N$65/V_1pu_DIG!$D$22</f>
        <v>-0.90656806380456856</v>
      </c>
      <c r="J52" s="29">
        <f>'V_1,04pu_DIG'!$N$64/V_1pu_DIG!$D$22</f>
        <v>-0.89617298873443796</v>
      </c>
      <c r="K52" s="29">
        <f>'V_1,04pu_DIG'!$N$63/V_1pu_DIG!$D$22</f>
        <v>-0.88264909294024718</v>
      </c>
      <c r="L52" s="29">
        <f>'V_1,04pu_DIG'!$N$62/V_1pu_DIG!$D$22</f>
        <v>-0.86586724907604184</v>
      </c>
      <c r="M52" s="29">
        <f>'V_1,04pu_DIG'!$N$61/V_1pu_DIG!$D$22</f>
        <v>-0.84565711127327914</v>
      </c>
      <c r="N52" s="29">
        <f>'V_1,04pu_DIG'!$N$60/V_1pu_DIG!$D$22</f>
        <v>-0.82179732903989444</v>
      </c>
      <c r="O52" s="29">
        <f>'V_1,04pu_DIG'!$N$59/V_1pu_DIG!$D$22</f>
        <v>-0.7940012312404473</v>
      </c>
      <c r="P52" s="29">
        <f>'V_1,04pu_DIG'!$N$58/V_1pu_DIG!$D$22</f>
        <v>-0.76189548515234495</v>
      </c>
      <c r="Q52" s="29">
        <f>'V_1,04pu_DIG'!$N$57/V_1pu_DIG!$D$22</f>
        <v>-0.72498732479367411</v>
      </c>
      <c r="R52" s="29">
        <f>'V_1,04pu_DIG'!$N$56/V_1pu_DIG!$D$22</f>
        <v>-0.68261213981221591</v>
      </c>
      <c r="S52" s="29">
        <f>'V_1,04pu_DIG'!$N$55/V_1pu_DIG!$D$22</f>
        <v>-0.63384505127943103</v>
      </c>
      <c r="T52" s="29">
        <f>'V_1,04pu_DIG'!$N$54/V_1pu_DIG!$D$22</f>
        <v>-0.57734082710059442</v>
      </c>
      <c r="U52" s="29">
        <f>'V_1,04pu_DIG'!$N$53/V_1pu_DIG!$D$22</f>
        <v>-0.51101499972898001</v>
      </c>
      <c r="V52" s="29">
        <f>'V_1,04pu_DIG'!$N$52/V_1pu_DIG!$D$22</f>
        <v>-0.43131583704735044</v>
      </c>
      <c r="W52" s="29">
        <f>'V_1,04pu_DIG'!$N$51/V_1pu_DIG!$D$22</f>
        <v>-0.40861162539734175</v>
      </c>
      <c r="X52" s="29">
        <f>'V_1,04pu_DIG'!$N$50/V_1pu_DIG!$D$22</f>
        <v>-0.38450490908495011</v>
      </c>
      <c r="Y52" s="29">
        <f>'V_1,04pu_DIG'!$N$49/V_1pu_DIG!$D$22</f>
        <v>-0.35878261458286298</v>
      </c>
      <c r="Z52" s="29">
        <f>'V_1,04pu_DIG'!$N$48/V_1pu_DIG!$D$22</f>
        <v>-0.33116673956972736</v>
      </c>
      <c r="AA52" s="29">
        <f>'V_1,04pu_DIG'!$N$47/V_1pu_DIG!$D$22</f>
        <v>-0.30128252365868724</v>
      </c>
      <c r="AB52" s="29">
        <f>'V_1,04pu_DIG'!$N$46/V_1pu_DIG!$D$22</f>
        <v>-0.26860313010885362</v>
      </c>
      <c r="AC52" s="29">
        <f>'V_1,04pu_DIG'!$N$45/V_1pu_DIG!$D$22</f>
        <v>-0.23234533031443977</v>
      </c>
      <c r="AD52" s="29">
        <f>'V_1,04pu_DIG'!$N$44/V_1pu_DIG!$D$22</f>
        <v>-0.19124954415736489</v>
      </c>
      <c r="AE52" s="29">
        <f>'V_1,04pu_DIG'!$N$43/V_1pu_DIG!$D$22</f>
        <v>-0.14303323047357985</v>
      </c>
      <c r="AF52" s="29">
        <f>'V_1,04pu_DIG'!$N$42/V_1pu_DIG!$D$22</f>
        <v>-8.2604835523059569E-2</v>
      </c>
      <c r="AG52" s="29">
        <f>'V_1,04pu_DIG'!$N$41/V_1pu_DIG!$D$22</f>
        <v>8.8450172404370905E-3</v>
      </c>
      <c r="AH52" s="29">
        <f>'V_1,04pu_DIG'!$N$40/V_1pu_DIG!$D$22</f>
        <v>0.1171406368121779</v>
      </c>
      <c r="AI52" s="29">
        <f>'V_1,04pu_DIG'!$N$39/V_1pu_DIG!$D$22</f>
        <v>0.1171406368121779</v>
      </c>
      <c r="AJ52" s="29">
        <f>'V_1,04pu_DIG'!$N$38/V_1pu_DIG!$D$22</f>
        <v>0.1171406368121779</v>
      </c>
      <c r="AK52" s="29">
        <f>'V_1,04pu_DIG'!$N$37/V_1pu_DIG!$D$22</f>
        <v>0.1171406368121779</v>
      </c>
      <c r="AL52" s="29">
        <f>'V_1,04pu_DIG'!$N$36/V_1pu_DIG!$D$22</f>
        <v>0.1171406368121779</v>
      </c>
    </row>
    <row r="53" spans="3:38">
      <c r="C53" s="34"/>
      <c r="E53" s="36">
        <v>1.06</v>
      </c>
      <c r="F53" s="29">
        <f>'V_1,06pu_DIG'!$N$68/V_1pu_DIG!$D$22</f>
        <v>-0.93517209863869066</v>
      </c>
      <c r="G53" s="29">
        <f>'V_1,06pu_DIG'!$N$67/V_1pu_DIG!$D$22</f>
        <v>-0.933740004181428</v>
      </c>
      <c r="H53" s="29">
        <f>'V_1,06pu_DIG'!$N$66/V_1pu_DIG!$D$22</f>
        <v>-0.92943201398024544</v>
      </c>
      <c r="I53" s="29">
        <f>'V_1,06pu_DIG'!$N$65/V_1pu_DIG!$D$22</f>
        <v>-0.92221252377142393</v>
      </c>
      <c r="J53" s="29">
        <f>'V_1,06pu_DIG'!$N$64/V_1pu_DIG!$D$22</f>
        <v>-0.91202053309743614</v>
      </c>
      <c r="K53" s="29">
        <f>'V_1,06pu_DIG'!$N$63/V_1pu_DIG!$D$22</f>
        <v>-0.89876698070123284</v>
      </c>
      <c r="L53" s="29">
        <f>'V_1,06pu_DIG'!$N$62/V_1pu_DIG!$D$22</f>
        <v>-0.88233063159019587</v>
      </c>
      <c r="M53" s="29">
        <f>'V_1,06pu_DIG'!$N$61/V_1pu_DIG!$D$22</f>
        <v>-0.86255204524369133</v>
      </c>
      <c r="N53" s="29">
        <f>'V_1,06pu_DIG'!$N$60/V_1pu_DIG!$D$22</f>
        <v>-0.83922486308664135</v>
      </c>
      <c r="O53" s="29">
        <f>'V_1,06pu_DIG'!$N$59/V_1pu_DIG!$D$22</f>
        <v>-0.81208317360707094</v>
      </c>
      <c r="P53" s="29">
        <f>'V_1,06pu_DIG'!$N$58/V_1pu_DIG!$D$22</f>
        <v>-0.78078288055219514</v>
      </c>
      <c r="Q53" s="29">
        <f>'V_1,06pu_DIG'!$N$57/V_1pu_DIG!$D$22</f>
        <v>-0.74487347412205518</v>
      </c>
      <c r="R53" s="29">
        <f>'V_1,06pu_DIG'!$N$56/V_1pu_DIG!$D$22</f>
        <v>-0.70375363989195461</v>
      </c>
      <c r="S53" s="29">
        <f>'V_1,06pu_DIG'!$N$55/V_1pu_DIG!$D$22</f>
        <v>-0.65659795632094908</v>
      </c>
      <c r="T53" s="29">
        <f>'V_1,06pu_DIG'!$N$54/V_1pu_DIG!$D$22</f>
        <v>-0.60222786422168995</v>
      </c>
      <c r="U53" s="29">
        <f>'V_1,06pu_DIG'!$N$53/V_1pu_DIG!$D$22</f>
        <v>-0.53886430809399077</v>
      </c>
      <c r="V53" s="29">
        <f>'V_1,06pu_DIG'!$N$52/V_1pu_DIG!$D$22</f>
        <v>-0.46359360533434846</v>
      </c>
      <c r="W53" s="29">
        <f>'V_1,06pu_DIG'!$N$51/V_1pu_DIG!$D$22</f>
        <v>-0.44237365714836147</v>
      </c>
      <c r="X53" s="29">
        <f>'V_1,06pu_DIG'!$N$50/V_1pu_DIG!$D$22</f>
        <v>-0.41997465037483145</v>
      </c>
      <c r="Y53" s="29">
        <f>'V_1,06pu_DIG'!$N$49/V_1pu_DIG!$D$22</f>
        <v>-0.39624363564254161</v>
      </c>
      <c r="Z53" s="29">
        <f>'V_1,06pu_DIG'!$N$48/V_1pu_DIG!$D$22</f>
        <v>-0.37098817230384307</v>
      </c>
      <c r="AA53" s="29">
        <f>'V_1,06pu_DIG'!$N$47/V_1pu_DIG!$D$22</f>
        <v>-0.34396028160207309</v>
      </c>
      <c r="AB53" s="29">
        <f>'V_1,06pu_DIG'!$N$46/V_1pu_DIG!$D$22</f>
        <v>-0.31483085905219343</v>
      </c>
      <c r="AC53" s="29">
        <f>'V_1,06pu_DIG'!$N$45/V_1pu_DIG!$D$22</f>
        <v>-0.2831465198268831</v>
      </c>
      <c r="AD53" s="29">
        <f>'V_1,06pu_DIG'!$N$44/V_1pu_DIG!$D$22</f>
        <v>-0.24825138200475411</v>
      </c>
      <c r="AE53" s="29">
        <f>'V_1,06pu_DIG'!$N$43/V_1pu_DIG!$D$22</f>
        <v>-0.20913096987011248</v>
      </c>
      <c r="AF53" s="29">
        <f>'V_1,06pu_DIG'!$N$42/V_1pu_DIG!$D$22</f>
        <v>-0.1640551129142023</v>
      </c>
      <c r="AG53" s="29">
        <f>'V_1,06pu_DIG'!$N$41/V_1pu_DIG!$D$22</f>
        <v>-0.10956719035365931</v>
      </c>
      <c r="AH53" s="29">
        <f>'V_1,06pu_DIG'!$N$40/V_1pu_DIG!$D$22</f>
        <v>-3.6206667917916754E-2</v>
      </c>
      <c r="AI53" s="29">
        <f>'V_1,06pu_DIG'!$N$39/V_1pu_DIG!$D$22</f>
        <v>0.12168936716176319</v>
      </c>
      <c r="AJ53" s="29">
        <f>'V_1,06pu_DIG'!$N$38/V_1pu_DIG!$D$22</f>
        <v>0.12168936716176319</v>
      </c>
      <c r="AK53" s="29">
        <f>'V_1,06pu_DIG'!$N$37/V_1pu_DIG!$D$22</f>
        <v>0.12168936716176319</v>
      </c>
      <c r="AL53" s="29">
        <f>'V_1,06pu_DIG'!$N$36/V_1pu_DIG!$D$22</f>
        <v>0.12168936716176319</v>
      </c>
    </row>
    <row r="54" spans="3:38">
      <c r="C54" s="34"/>
      <c r="E54" s="36">
        <v>1.08</v>
      </c>
      <c r="F54" s="29">
        <f>'V_1,08pu_DIG'!$N$68/V_1pu_DIG!$D$22</f>
        <v>-0.95047750817984944</v>
      </c>
      <c r="G54" s="29">
        <f>'V_1,08pu_DIG'!$N$67/V_1pu_DIG!$D$22</f>
        <v>-0.9490719689800684</v>
      </c>
      <c r="H54" s="29">
        <f>'V_1,08pu_DIG'!$N$66/V_1pu_DIG!$D$22</f>
        <v>-0.94484428573081936</v>
      </c>
      <c r="I54" s="29">
        <f>'V_1,08pu_DIG'!$N$65/V_1pu_DIG!$D$22</f>
        <v>-0.9377608212614198</v>
      </c>
      <c r="J54" s="29">
        <f>'V_1,08pu_DIG'!$N$64/V_1pu_DIG!$D$22</f>
        <v>-0.92776400469131615</v>
      </c>
      <c r="K54" s="29">
        <f>'V_1,08pu_DIG'!$N$63/V_1pu_DIG!$D$22</f>
        <v>-0.91476991548756137</v>
      </c>
      <c r="L54" s="29">
        <f>'V_1,08pu_DIG'!$N$62/V_1pu_DIG!$D$22</f>
        <v>-0.89866456808305373</v>
      </c>
      <c r="M54" s="29">
        <f>'V_1,08pu_DIG'!$N$61/V_1pu_DIG!$D$22</f>
        <v>-0.87929849048165132</v>
      </c>
      <c r="N54" s="29">
        <f>'V_1,08pu_DIG'!$N$60/V_1pu_DIG!$D$22</f>
        <v>-0.85647894420355819</v>
      </c>
      <c r="O54" s="29">
        <f>'V_1,08pu_DIG'!$N$59/V_1pu_DIG!$D$22</f>
        <v>-0.82995873349715288</v>
      </c>
      <c r="P54" s="29">
        <f>'V_1,08pu_DIG'!$N$58/V_1pu_DIG!$D$22</f>
        <v>-0.79941986931912823</v>
      </c>
      <c r="Q54" s="29">
        <f>'V_1,08pu_DIG'!$N$57/V_1pu_DIG!$D$22</f>
        <v>-0.76444912674903043</v>
      </c>
      <c r="R54" s="29">
        <f>'V_1,08pu_DIG'!$N$56/V_1pu_DIG!$D$22</f>
        <v>-0.72450020185499531</v>
      </c>
      <c r="S54" s="29">
        <f>'V_1,08pu_DIG'!$N$55/V_1pu_DIG!$D$22</f>
        <v>-0.67883243824659933</v>
      </c>
      <c r="T54" s="29">
        <f>'V_1,08pu_DIG'!$N$54/V_1pu_DIG!$D$22</f>
        <v>-0.62640567766718691</v>
      </c>
      <c r="U54" s="29">
        <f>'V_1,08pu_DIG'!$N$53/V_1pu_DIG!$D$22</f>
        <v>-0.56568543454999387</v>
      </c>
      <c r="V54" s="29">
        <f>'V_1,08pu_DIG'!$N$52/V_1pu_DIG!$D$22</f>
        <v>-0.49424200232501703</v>
      </c>
      <c r="W54" s="29">
        <f>'V_1,08pu_DIG'!$N$51/V_1pu_DIG!$D$22</f>
        <v>-0.47426998123858394</v>
      </c>
      <c r="X54" s="29">
        <f>'V_1,08pu_DIG'!$N$50/V_1pu_DIG!$D$22</f>
        <v>-0.45328446599953287</v>
      </c>
      <c r="Y54" s="29">
        <f>'V_1,08pu_DIG'!$N$49/V_1pu_DIG!$D$22</f>
        <v>-0.43117101709520161</v>
      </c>
      <c r="Z54" s="29">
        <f>'V_1,08pu_DIG'!$N$48/V_1pu_DIG!$D$22</f>
        <v>-0.40778955645618048</v>
      </c>
      <c r="AA54" s="29">
        <f>'V_1,08pu_DIG'!$N$47/V_1pu_DIG!$D$22</f>
        <v>-0.3829654711552829</v>
      </c>
      <c r="AB54" s="29">
        <f>'V_1,08pu_DIG'!$N$46/V_1pu_DIG!$D$22</f>
        <v>-0.35647628700624506</v>
      </c>
      <c r="AC54" s="29">
        <f>'V_1,08pu_DIG'!$N$45/V_1pu_DIG!$D$22</f>
        <v>-0.32803086872289788</v>
      </c>
      <c r="AD54" s="29">
        <f>'V_1,08pu_DIG'!$N$44/V_1pu_DIG!$D$22</f>
        <v>-0.29723526953536422</v>
      </c>
      <c r="AE54" s="29">
        <f>'V_1,08pu_DIG'!$N$43/V_1pu_DIG!$D$22</f>
        <v>-0.26353295092991674</v>
      </c>
      <c r="AF54" s="29">
        <f>'V_1,08pu_DIG'!$N$42/V_1pu_DIG!$D$22</f>
        <v>-0.22609096861238864</v>
      </c>
      <c r="AG54" s="29">
        <f>'V_1,08pu_DIG'!$N$41/V_1pu_DIG!$D$22</f>
        <v>-0.18355671987825489</v>
      </c>
      <c r="AH54" s="29">
        <f>'V_1,08pu_DIG'!$N$40/V_1pu_DIG!$D$22</f>
        <v>-0.13344069587570789</v>
      </c>
      <c r="AI54" s="29">
        <f>'V_1,08pu_DIG'!$N$39/V_1pu_DIG!$D$22</f>
        <v>-7.0020667827534189E-2</v>
      </c>
      <c r="AJ54" s="29">
        <f>'V_1,08pu_DIG'!$N$38/V_1pu_DIG!$D$22</f>
        <v>3.0164292445935003E-2</v>
      </c>
      <c r="AK54" s="29">
        <f>'V_1,08pu_DIG'!$N$37/V_1pu_DIG!$D$22</f>
        <v>0.12632473999419774</v>
      </c>
      <c r="AL54" s="29">
        <f>'V_1,08pu_DIG'!$N$36/V_1pu_DIG!$D$22</f>
        <v>0.12632473999419774</v>
      </c>
    </row>
    <row r="55" spans="3:38">
      <c r="C55" s="34"/>
      <c r="E55" s="36">
        <v>1.1000000000000001</v>
      </c>
      <c r="F55" s="29">
        <f>'V_1,1pu_DIG'!$N$68/V_1pu_DIG!$D$22</f>
        <v>-0.96569627523815904</v>
      </c>
      <c r="G55" s="29">
        <f>'V_1,1pu_DIG'!$N$67/V_1pu_DIG!$D$22</f>
        <v>-0.96431632379024013</v>
      </c>
      <c r="H55" s="29">
        <f>'V_1,1pu_DIG'!$N$66/V_1pu_DIG!$D$22</f>
        <v>-0.96016599894828614</v>
      </c>
      <c r="I55" s="29">
        <f>'V_1,1pu_DIG'!$N$65/V_1pu_DIG!$D$22</f>
        <v>-0.95321348792312133</v>
      </c>
      <c r="J55" s="29">
        <f>'V_1,1pu_DIG'!$N$64/V_1pu_DIG!$D$22</f>
        <v>-0.94340439530408771</v>
      </c>
      <c r="K55" s="29">
        <f>'V_1,1pu_DIG'!$N$63/V_1pu_DIG!$D$22</f>
        <v>-0.93065954826737063</v>
      </c>
      <c r="L55" s="29">
        <f>'V_1,1pu_DIG'!$N$62/V_1pu_DIG!$D$22</f>
        <v>-0.91487163302434205</v>
      </c>
      <c r="M55" s="29">
        <f>'V_1,1pu_DIG'!$N$61/V_1pu_DIG!$D$22</f>
        <v>-0.89590031005212856</v>
      </c>
      <c r="N55" s="29">
        <f>'V_1,1pu_DIG'!$N$60/V_1pu_DIG!$D$22</f>
        <v>-0.8735652469355758</v>
      </c>
      <c r="O55" s="29">
        <f>'V_1,1pu_DIG'!$N$59/V_1pu_DIG!$D$22</f>
        <v>-0.84763617345489783</v>
      </c>
      <c r="P55" s="29">
        <f>'V_1,1pu_DIG'!$N$58/V_1pu_DIG!$D$22</f>
        <v>-0.81781850122319566</v>
      </c>
      <c r="Q55" s="29">
        <f>'V_1,1pu_DIG'!$N$57/V_1pu_DIG!$D$22</f>
        <v>-0.78373205678381508</v>
      </c>
      <c r="R55" s="29">
        <f>'V_1,1pu_DIG'!$N$56/V_1pu_DIG!$D$22</f>
        <v>-0.74487862681779948</v>
      </c>
      <c r="S55" s="29">
        <f>'V_1,1pu_DIG'!$N$55/V_1pu_DIG!$D$22</f>
        <v>-0.70059035007652948</v>
      </c>
      <c r="T55" s="29">
        <f>'V_1,1pu_DIG'!$N$54/V_1pu_DIG!$D$22</f>
        <v>-0.64994317743922114</v>
      </c>
      <c r="U55" s="29">
        <f>'V_1,1pu_DIG'!$N$53/V_1pu_DIG!$D$22</f>
        <v>-0.59160134373653639</v>
      </c>
      <c r="V55" s="29">
        <f>'V_1,1pu_DIG'!$N$52/V_1pu_DIG!$D$22</f>
        <v>-0.52351055696716187</v>
      </c>
      <c r="W55" s="29">
        <f>'V_1,1pu_DIG'!$N$51/V_1pu_DIG!$D$22</f>
        <v>-0.50460740581496466</v>
      </c>
      <c r="X55" s="29">
        <f>'V_1,1pu_DIG'!$N$50/V_1pu_DIG!$D$22</f>
        <v>-0.48481769816613796</v>
      </c>
      <c r="Y55" s="29">
        <f>'V_1,1pu_DIG'!$N$49/V_1pu_DIG!$D$22</f>
        <v>-0.46405299477853779</v>
      </c>
      <c r="Z55" s="29">
        <f>'V_1,1pu_DIG'!$N$48/V_1pu_DIG!$D$22</f>
        <v>-0.44220735505940473</v>
      </c>
      <c r="AA55" s="29">
        <f>'V_1,1pu_DIG'!$N$47/V_1pu_DIG!$D$22</f>
        <v>-0.41915203835951892</v>
      </c>
      <c r="AB55" s="29">
        <f>'V_1,1pu_DIG'!$N$46/V_1pu_DIG!$D$22</f>
        <v>-0.39472793508063514</v>
      </c>
      <c r="AC55" s="29">
        <f>'V_1,1pu_DIG'!$N$45/V_1pu_DIG!$D$22</f>
        <v>-0.36873440935643814</v>
      </c>
      <c r="AD55" s="29">
        <f>'V_1,1pu_DIG'!$N$44/V_1pu_DIG!$D$22</f>
        <v>-0.34091222072002814</v>
      </c>
      <c r="AE55" s="29">
        <f>'V_1,1pu_DIG'!$N$43/V_1pu_DIG!$D$22</f>
        <v>-0.31091615326410338</v>
      </c>
      <c r="AF55" s="29">
        <f>'V_1,1pu_DIG'!$N$42/V_1pu_DIG!$D$22</f>
        <v>-0.27826855720010807</v>
      </c>
      <c r="AG55" s="29">
        <f>'V_1,1pu_DIG'!$N$41/V_1pu_DIG!$D$22</f>
        <v>-0.24227443690283193</v>
      </c>
      <c r="AH55" s="29">
        <f>'V_1,1pu_DIG'!$N$40/V_1pu_DIG!$D$22</f>
        <v>-0.20185003808874674</v>
      </c>
      <c r="AI55" s="29">
        <f>'V_1,1pu_DIG'!$N$39/V_1pu_DIG!$D$22</f>
        <v>-0.15512401984902915</v>
      </c>
      <c r="AJ55" s="29">
        <f>'V_1,1pu_DIG'!$N$38/V_1pu_DIG!$D$22</f>
        <v>-9.8276215748419299E-2</v>
      </c>
      <c r="AK55" s="29">
        <f>'V_1,1pu_DIG'!$N$37/V_1pu_DIG!$D$22</f>
        <v>-2.0301229661652286E-2</v>
      </c>
      <c r="AL55" s="29">
        <f>'V_1,1pu_DIG'!$N$36/V_1pu_DIG!$D$22</f>
        <v>0.13104675530948151</v>
      </c>
    </row>
    <row r="57" spans="3:38"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3:38">
      <c r="F58">
        <v>68</v>
      </c>
      <c r="AE58">
        <v>31</v>
      </c>
      <c r="AF58">
        <v>30</v>
      </c>
      <c r="AK58">
        <v>37</v>
      </c>
      <c r="AL58">
        <v>36</v>
      </c>
    </row>
  </sheetData>
  <mergeCells count="4">
    <mergeCell ref="F1:AL2"/>
    <mergeCell ref="F15:AL15"/>
    <mergeCell ref="F30:AL30"/>
    <mergeCell ref="F43:AL4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18</vt:i4>
      </vt:variant>
    </vt:vector>
  </HeadingPairs>
  <TitlesOfParts>
    <vt:vector size="35" baseType="lpstr">
      <vt:lpstr>Datasheet</vt:lpstr>
      <vt:lpstr>Capability</vt:lpstr>
      <vt:lpstr>Curves Value</vt:lpstr>
      <vt:lpstr>Ii_Derating</vt:lpstr>
      <vt:lpstr>aux</vt:lpstr>
      <vt:lpstr>V_0,9pu_DIG</vt:lpstr>
      <vt:lpstr>V_0,92pu_DIG</vt:lpstr>
      <vt:lpstr>V_0,94pu_DIG</vt:lpstr>
      <vt:lpstr>V_0,96pu_DIG</vt:lpstr>
      <vt:lpstr>V_0,98pu_DIG</vt:lpstr>
      <vt:lpstr>V_1pu_DIG</vt:lpstr>
      <vt:lpstr>V_1,02pu_DIG</vt:lpstr>
      <vt:lpstr>V_1,04pu_DIG</vt:lpstr>
      <vt:lpstr>V_1,06pu_DIG</vt:lpstr>
      <vt:lpstr>V_1,08pu_DIG</vt:lpstr>
      <vt:lpstr>V_1,1pu_DIG</vt:lpstr>
      <vt:lpstr>DIGSILENT CAPABILITY TABLES</vt:lpstr>
      <vt:lpstr>C0</vt:lpstr>
      <vt:lpstr>Co</vt:lpstr>
      <vt:lpstr>I_set</vt:lpstr>
      <vt:lpstr>Ii</vt:lpstr>
      <vt:lpstr>Ii_r</vt:lpstr>
      <vt:lpstr>ImaxVdc</vt:lpstr>
      <vt:lpstr>Iset</vt:lpstr>
      <vt:lpstr>K_1</vt:lpstr>
      <vt:lpstr>K_2</vt:lpstr>
      <vt:lpstr>K_3</vt:lpstr>
      <vt:lpstr>K_4</vt:lpstr>
      <vt:lpstr>Li</vt:lpstr>
      <vt:lpstr>Lo</vt:lpstr>
      <vt:lpstr>Nm</vt:lpstr>
      <vt:lpstr>Vi</vt:lpstr>
      <vt:lpstr>Vo</vt:lpstr>
      <vt:lpstr>Vo_1</vt:lpstr>
      <vt:lpstr>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2019-07-29T11:06:53Z</dcterms:modified>
</cp:coreProperties>
</file>